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sheet" sheetId="1" r:id="rId5"/>
    <sheet state="visible" name="upcoming, not in GEM" sheetId="2" r:id="rId6"/>
    <sheet state="visible" name="not in the pipeline" sheetId="3" r:id="rId7"/>
    <sheet state="visible" name="GEM GOGPT_Aug 2025" sheetId="4" r:id="rId8"/>
    <sheet state="visible" name="from T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tc={06d2fe3d-dc65-4f11-a6b9-892972a9d373}</author>
    <author>tc={0a276477-430a-48af-b993-55755198c15b}</author>
    <author>tc={3da516e2-3b62-477f-9501-581b9b4276e5}</author>
    <author>tc={49ebbd51-b0d5-4973-b31c-e3df7b68d92c}</author>
    <author>tc={57e69b68-0cd1-412e-bd8d-920477e031e6}</author>
    <author>tc={60dab47d-fef3-4b43-ac92-72b79a14069e}</author>
    <author>tc={7822a60c-71de-4d49-86ad-d03bf3eec035}</author>
    <author>tc={8fc75461-f590-4db4-b93c-c9b349e53d56}</author>
    <author>tc={94519dc5-ccde-4b93-bc0b-8f4c2662303f}</author>
    <author>tc={a53f3869-d6f2-42a4-b5fb-2beb23205909}</author>
    <author>tc={b360a8f3-7963-481c-90bb-eca23542ae31}</author>
  </authors>
  <commentList>
    <comment authorId="0" ref="D270">
      <text>
        <t xml:space="preserve">The stack emission is taken from one of stack (consist of three stacks GTG 1.1., 1.2., 1.3.). The data is from GTG 1.3. TW 4 2021</t>
      </text>
    </comment>
    <comment authorId="1" xr:uid="{06d2fe3d-dc65-4f11-a6b9-892972a9d373}" ref="D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unit s in newest GOGPT
another GEM data for unit 2: L100000102829	G100001063994
</t>
      </text>
    </comment>
    <comment authorId="2" xr:uid="{0a276477-430a-48af-b993-55755198c15b}" ref="F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pre-construction in GOGPT
</t>
      </text>
    </comment>
    <comment authorId="3" xr:uid="{3da516e2-3b62-477f-9501-581b9b4276e5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https://docs.google.com/document/d/1O65NZG-Qa7mO1lN_KW-oPvZgdG8VV-3gk59-ueGLLuY/edit?tab=t.0
</t>
      </text>
    </comment>
    <comment authorId="4" xr:uid="{49ebbd51-b0d5-4973-b31c-e3df7b68d92c}" ref="N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Pomalaa, in newest GOGPT from GEM
</t>
      </text>
    </comment>
    <comment authorId="5" xr:uid="{57e69b68-0cd1-412e-bd8d-920477e031e6}" ref="D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2x50 in GOGPT
another unit's GEM data: L100000102830	G100001063997
</t>
      </text>
    </comment>
    <comment authorId="6" xr:uid="{60dab47d-fef3-4b43-ac92-72b79a14069e}" ref="E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2x50 in newest GOGPT
another unit location and GEM ID data: L100000104579	G100001064000
</t>
      </text>
    </comment>
    <comment authorId="7" xr:uid="{7822a60c-71de-4d49-86ad-d03bf3eec03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@baits@energyandcleanair.org Sudah sesuai kah? Hanya yg tidak ada di GOGPT/TrendAsia?
</t>
      </text>
    </comment>
    <comment authorId="8" xr:uid="{8fc75461-f590-4db4-b93c-c9b349e53d56}" ref="A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@baits@energyandcleanair.org mark x for entries found in listed dataset
</t>
      </text>
    </comment>
    <comment authorId="9" xr:uid="{94519dc5-ccde-4b93-bc0b-8f4c2662303f}" ref="F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pre-construction in GOGPT
</t>
      </text>
    </comment>
    <comment authorId="10" xr:uid="{a53f3869-d6f2-42a4-b5fb-2beb23205909}" ref="F2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construction in the newest dataset of GOGPT
</t>
      </text>
    </comment>
    <comment authorId="11" xr:uid="{b360a8f3-7963-481c-90bb-eca23542ae31}" ref="D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Bali Power Station in GEM
</t>
      </text>
    </comment>
  </commentList>
</comments>
</file>

<file path=xl/sharedStrings.xml><?xml version="1.0" encoding="utf-8"?>
<sst xmlns="http://schemas.openxmlformats.org/spreadsheetml/2006/main" count="6812" uniqueCount="1328">
  <si>
    <t>GEM location ID</t>
  </si>
  <si>
    <t>GEM unit ID</t>
  </si>
  <si>
    <t>Wiki URL</t>
  </si>
  <si>
    <t>Plant name</t>
  </si>
  <si>
    <t>Capacity (MW)</t>
  </si>
  <si>
    <t>Status</t>
  </si>
  <si>
    <t>Start year</t>
  </si>
  <si>
    <t>RUPTL 2025-RE Base_COD</t>
  </si>
  <si>
    <t>RUPTL 2025-ARED_COD</t>
  </si>
  <si>
    <t>tag year</t>
  </si>
  <si>
    <t>Latitude</t>
  </si>
  <si>
    <t>Longitude</t>
  </si>
  <si>
    <t>City</t>
  </si>
  <si>
    <t>State/Province</t>
  </si>
  <si>
    <t>Ownership</t>
  </si>
  <si>
    <t>Captive industry use</t>
  </si>
  <si>
    <t>Captive industry type</t>
  </si>
  <si>
    <t>Fuel classification?</t>
  </si>
  <si>
    <t>Owner(s)</t>
  </si>
  <si>
    <t>Parent(s)</t>
  </si>
  <si>
    <t>Technology</t>
  </si>
  <si>
    <t>Thermal efficiency (%)</t>
  </si>
  <si>
    <t>APC technology</t>
  </si>
  <si>
    <t>Annual NOx, ton/year</t>
  </si>
  <si>
    <t>Annual SOx, ton/year</t>
  </si>
  <si>
    <t>Annual PMs, ton/year</t>
  </si>
  <si>
    <t>Conc. Dust</t>
  </si>
  <si>
    <t>Conc. NOx</t>
  </si>
  <si>
    <t>Conc. CO</t>
  </si>
  <si>
    <t>Conc. CO2</t>
  </si>
  <si>
    <t>Conc. SOx</t>
  </si>
  <si>
    <t>Conc. PM</t>
  </si>
  <si>
    <t>Unit for gases</t>
  </si>
  <si>
    <t>Stack height (m)</t>
  </si>
  <si>
    <t>Stack diameter (m)</t>
  </si>
  <si>
    <t>Flue exit temp (℃)</t>
  </si>
  <si>
    <t>Flue velocity (m/s)</t>
  </si>
  <si>
    <t>to be checked</t>
  </si>
  <si>
    <t>GOGPT Jul 2025</t>
  </si>
  <si>
    <t>GOGPT internal sharing, Oct 2025</t>
  </si>
  <si>
    <t>TrendAsia internal sharing, Oct 2025</t>
  </si>
  <si>
    <t>L100000102774</t>
  </si>
  <si>
    <t>G100001064105</t>
  </si>
  <si>
    <t>https://www.gem.wiki/Jayapura-2_power_station</t>
  </si>
  <si>
    <t>Jayapura-2 power station</t>
  </si>
  <si>
    <t>announced</t>
  </si>
  <si>
    <t>Jayapura</t>
  </si>
  <si>
    <t>Papua</t>
  </si>
  <si>
    <t>PLN</t>
  </si>
  <si>
    <t>Multi fuel</t>
  </si>
  <si>
    <t>PT PLN (Persero) [100%]</t>
  </si>
  <si>
    <t>PT PLN (Persero) [100.0%]</t>
  </si>
  <si>
    <t>ICCC</t>
  </si>
  <si>
    <t>x</t>
  </si>
  <si>
    <t>L100000104578</t>
  </si>
  <si>
    <t>G100001064106</t>
  </si>
  <si>
    <t>https://www.gem.wiki/Jayapura-3_power_station</t>
  </si>
  <si>
    <t>Jayapura-3 power station</t>
  </si>
  <si>
    <t>L100000408072</t>
  </si>
  <si>
    <t>G100001064205</t>
  </si>
  <si>
    <t>https://www.gem.wiki/Jayapura_power_station</t>
  </si>
  <si>
    <t>Jayapura power station</t>
  </si>
  <si>
    <t>Gas only</t>
  </si>
  <si>
    <t>internal combustion</t>
  </si>
  <si>
    <t>L100000405950</t>
  </si>
  <si>
    <t>G100000405936</t>
  </si>
  <si>
    <t>https://www.gem.wiki/Sulbagut_1_Combined_Cycle_power_station</t>
  </si>
  <si>
    <t>Sulbagut 1 Combined Cycle power station</t>
  </si>
  <si>
    <t>Sulawesi</t>
  </si>
  <si>
    <t>PT PLN (Persero)</t>
  </si>
  <si>
    <t>Combined Cycle Gas Turbine (CCGT)</t>
  </si>
  <si>
    <t>L100001056429</t>
  </si>
  <si>
    <t>G100001064470</t>
  </si>
  <si>
    <t>https://www.gem.wiki/Sumbagut/Banda_Aceh_sewa_power_station</t>
  </si>
  <si>
    <t>Sumbagut/Banda Aceh sewa power station</t>
  </si>
  <si>
    <t>Aceh</t>
  </si>
  <si>
    <t>L100000405938</t>
  </si>
  <si>
    <t>G100000405921</t>
  </si>
  <si>
    <t>https://www.gem.wiki/Kalsel_1_power_station</t>
  </si>
  <si>
    <t>Kalsel 1 power station</t>
  </si>
  <si>
    <t>not found</t>
  </si>
  <si>
    <t>South Kalimantan</t>
  </si>
  <si>
    <t>L100000405280</t>
  </si>
  <si>
    <t>G100000404273</t>
  </si>
  <si>
    <t>https://www.gem.wiki/Krakatau_power_station</t>
  </si>
  <si>
    <t>Krakatau power station</t>
  </si>
  <si>
    <t>Samangraya</t>
  </si>
  <si>
    <t>Banten</t>
  </si>
  <si>
    <t>Captive</t>
  </si>
  <si>
    <t>PT Krakatau Daya Listrik [100%]</t>
  </si>
  <si>
    <t>PT Krakatau Steel (Persero) Tbk [100.0%]</t>
  </si>
  <si>
    <t>L100000405292</t>
  </si>
  <si>
    <t>G100000404303</t>
  </si>
  <si>
    <t>https://www.gem.wiki/Sumbagut_Gas_and_Steam_power_station</t>
  </si>
  <si>
    <t>Sumbagut Gas and Steam power station</t>
  </si>
  <si>
    <t>Medan</t>
  </si>
  <si>
    <t>North Sumatra</t>
  </si>
  <si>
    <t>PT PLN Nusantara Power [100%]</t>
  </si>
  <si>
    <t>L100000102724</t>
  </si>
  <si>
    <t>G100000404307</t>
  </si>
  <si>
    <t>https://www.gem.wiki/Madura_PTBA_power_station</t>
  </si>
  <si>
    <t>Madura PTBA power station</t>
  </si>
  <si>
    <t>Pulau Madura</t>
  </si>
  <si>
    <t>East Java</t>
  </si>
  <si>
    <t>G100000404304</t>
  </si>
  <si>
    <t>G100000404305</t>
  </si>
  <si>
    <t>L100000406379</t>
  </si>
  <si>
    <t>G100000406288</t>
  </si>
  <si>
    <t>https://www.gem.wiki/Batubara_power_station</t>
  </si>
  <si>
    <t>Batubara power station</t>
  </si>
  <si>
    <t>Perupuk</t>
  </si>
  <si>
    <t>PT Hanlim Power Corp [100%]</t>
  </si>
  <si>
    <t>Hanlim Power Corp [100.0%]</t>
  </si>
  <si>
    <t>L100000405937</t>
  </si>
  <si>
    <t>G100000405919</t>
  </si>
  <si>
    <t>https://www.gem.wiki/Jawa-3_Combined_Cycle_power_station</t>
  </si>
  <si>
    <t>Jawa-3 Combined Cycle power station</t>
  </si>
  <si>
    <t>Kalbar Sewa</t>
  </si>
  <si>
    <t>announced (RUPTL 2025-2034)</t>
  </si>
  <si>
    <t>2025-2029</t>
  </si>
  <si>
    <t>Tobelo</t>
  </si>
  <si>
    <t>Sofifi</t>
  </si>
  <si>
    <t>Merauke 4</t>
  </si>
  <si>
    <t>Nabire 3</t>
  </si>
  <si>
    <t>2030-2034</t>
  </si>
  <si>
    <t>Baubau 2</t>
  </si>
  <si>
    <t>Tobelo 2</t>
  </si>
  <si>
    <t>MPP Manokwari</t>
  </si>
  <si>
    <t>IPP Sorong</t>
  </si>
  <si>
    <t>IPP</t>
  </si>
  <si>
    <t>Manokwari 3</t>
  </si>
  <si>
    <t>Halmahera 1</t>
  </si>
  <si>
    <t>Manokwari 4</t>
  </si>
  <si>
    <t>Subagteng</t>
  </si>
  <si>
    <t>Madura 3</t>
  </si>
  <si>
    <t>MPP Sambelia</t>
  </si>
  <si>
    <t>Kupang 2</t>
  </si>
  <si>
    <t>Luwuk</t>
  </si>
  <si>
    <t>Ambon 2</t>
  </si>
  <si>
    <t>Tarakan</t>
  </si>
  <si>
    <t>L100001056427</t>
  </si>
  <si>
    <t>G100001064468</t>
  </si>
  <si>
    <t>https://www.gem.wiki/Minahasa_power_station</t>
  </si>
  <si>
    <t>Minahasa</t>
  </si>
  <si>
    <t>Open Cycle Gas Turbine (OCGT)</t>
  </si>
  <si>
    <t>Timor 2</t>
  </si>
  <si>
    <t>Kalbar-3</t>
  </si>
  <si>
    <t>L100001056426</t>
  </si>
  <si>
    <t>G100001064466</t>
  </si>
  <si>
    <t>https://www.gem.wiki/Kalselteng_power_station</t>
  </si>
  <si>
    <r>
      <rPr>
        <rFont val="Arial"/>
        <i/>
        <color theme="1"/>
      </rPr>
      <t>Add-</t>
    </r>
    <r>
      <rPr>
        <rFont val="Arial"/>
        <color theme="1"/>
      </rPr>
      <t>On Kalselteng</t>
    </r>
  </si>
  <si>
    <t>L100001056425</t>
  </si>
  <si>
    <t>G100001064464</t>
  </si>
  <si>
    <t>https://www.gem.wiki/Kaltara_power_station</t>
  </si>
  <si>
    <r>
      <rPr>
        <rFont val="Arial"/>
        <i/>
        <color theme="1"/>
      </rPr>
      <t xml:space="preserve">Add-On </t>
    </r>
    <r>
      <rPr>
        <rFont val="Arial"/>
        <i val="0"/>
        <color theme="1"/>
      </rPr>
      <t>Kaltara / Kaltimra</t>
    </r>
  </si>
  <si>
    <t>Timor 3</t>
  </si>
  <si>
    <t>Lombok 5</t>
  </si>
  <si>
    <r>
      <rPr>
        <rFont val="Arial"/>
        <color theme="1"/>
      </rPr>
      <t xml:space="preserve">Kaltim </t>
    </r>
    <r>
      <rPr>
        <rFont val="Arial"/>
        <i/>
        <color theme="1"/>
      </rPr>
      <t xml:space="preserve">Add-on </t>
    </r>
    <r>
      <rPr>
        <rFont val="Arial"/>
        <color theme="1"/>
      </rPr>
      <t>Blok 2</t>
    </r>
  </si>
  <si>
    <r>
      <rPr>
        <rFont val="Arial"/>
        <color theme="1"/>
      </rPr>
      <t xml:space="preserve">Kaltim </t>
    </r>
    <r>
      <rPr>
        <rFont val="Arial"/>
        <i/>
        <color theme="1"/>
      </rPr>
      <t xml:space="preserve">Add-on </t>
    </r>
    <r>
      <rPr>
        <rFont val="Arial"/>
        <color theme="1"/>
      </rPr>
      <t>Blok 2</t>
    </r>
  </si>
  <si>
    <t>L100001056428</t>
  </si>
  <si>
    <t>G100001064469</t>
  </si>
  <si>
    <t>https://www.gem.wiki/Sumatera/Banda_Aceh_power_station</t>
  </si>
  <si>
    <t>Sumatera / Banda Aceh</t>
  </si>
  <si>
    <t>L100000102829</t>
  </si>
  <si>
    <t>G100001063994</t>
  </si>
  <si>
    <t>https://www.gem.wiki/Lombok_2_power_station</t>
  </si>
  <si>
    <t>Lombok 2</t>
  </si>
  <si>
    <t>G100001064467</t>
  </si>
  <si>
    <t>L100001056424</t>
  </si>
  <si>
    <t>G100001064462</t>
  </si>
  <si>
    <t>https://www.gem.wiki/Kalteng_power_station</t>
  </si>
  <si>
    <t>Kalteng</t>
  </si>
  <si>
    <t>G100001064463</t>
  </si>
  <si>
    <t>Kaltara/Kaltimra</t>
  </si>
  <si>
    <t>L100000102830</t>
  </si>
  <si>
    <t>G100001063996</t>
  </si>
  <si>
    <t>https://www.gem.wiki/Lombok_3_power_station</t>
  </si>
  <si>
    <t>Lombok 3</t>
  </si>
  <si>
    <t>Kaltara / Kaltimra</t>
  </si>
  <si>
    <t>G100001064465</t>
  </si>
  <si>
    <t>Kalselteng</t>
  </si>
  <si>
    <t>Madura 2</t>
  </si>
  <si>
    <t>L100001056419</t>
  </si>
  <si>
    <t>G100001064456</t>
  </si>
  <si>
    <t>https://www.gem.wiki/Kalimantan_2_power_station</t>
  </si>
  <si>
    <t>Kalimantan-2</t>
  </si>
  <si>
    <t>G100001064385</t>
  </si>
  <si>
    <t>L100000104579</t>
  </si>
  <si>
    <t>G100001063998</t>
  </si>
  <si>
    <t>https://www.gem.wiki/Lombok_4_power_station</t>
  </si>
  <si>
    <t>Lombok 4</t>
  </si>
  <si>
    <t>L100001056423</t>
  </si>
  <si>
    <t>G100001064461</t>
  </si>
  <si>
    <t>https://www.gem.wiki/Kalbar_sewa_power_station</t>
  </si>
  <si>
    <t>L100001056412</t>
  </si>
  <si>
    <t>G100001064449</t>
  </si>
  <si>
    <t>https://www.gem.wiki/MPP_Sulselbar_power_station</t>
  </si>
  <si>
    <t>MPP Sulselbar</t>
  </si>
  <si>
    <t>L100001056410</t>
  </si>
  <si>
    <t>G100001064447</t>
  </si>
  <si>
    <t>https://www.gem.wiki/Sumbagsel_power_station</t>
  </si>
  <si>
    <t>Sumbagsel</t>
  </si>
  <si>
    <t>L100001056418</t>
  </si>
  <si>
    <t>G100001064455</t>
  </si>
  <si>
    <t>https://www.gem.wiki/Kalimantan_1_power_station</t>
  </si>
  <si>
    <t>Kalimantan-1</t>
  </si>
  <si>
    <t>L100001056406</t>
  </si>
  <si>
    <t>G100001064443</t>
  </si>
  <si>
    <t>https://www.gem.wiki/Kalimantan_sewa_power_station</t>
  </si>
  <si>
    <t>Kalimantan Sewa</t>
  </si>
  <si>
    <t>L100001056038</t>
  </si>
  <si>
    <t>G100001064018</t>
  </si>
  <si>
    <t>https://www.gem.wiki/Sulbagsel_power_station</t>
  </si>
  <si>
    <t>Sulbagsel</t>
  </si>
  <si>
    <t>L100001056032</t>
  </si>
  <si>
    <t>G100001064009</t>
  </si>
  <si>
    <t>https://www.gem.wiki/MPP_Indonesia_1</t>
  </si>
  <si>
    <t>MPP Indonesia 1</t>
  </si>
  <si>
    <t>L100001056033</t>
  </si>
  <si>
    <t>G100001064011</t>
  </si>
  <si>
    <t>https://www.gem.wiki/MPP_Indonesia_2</t>
  </si>
  <si>
    <t>MPP Indonesia 2</t>
  </si>
  <si>
    <t>L100001056035</t>
  </si>
  <si>
    <t>G100001064013</t>
  </si>
  <si>
    <t>https://www.gem.wiki/MPP_Indonesia_3</t>
  </si>
  <si>
    <t>MPP Indonesia 3</t>
  </si>
  <si>
    <t>L100000104395</t>
  </si>
  <si>
    <t>G100001064356</t>
  </si>
  <si>
    <t>https://www.gem.wiki/Bali_Power_Station</t>
  </si>
  <si>
    <t>Bali</t>
  </si>
  <si>
    <t>L100001056036</t>
  </si>
  <si>
    <t>G100001064016</t>
  </si>
  <si>
    <t>https://www.gem.wiki/Kluster_Poci_power_station</t>
  </si>
  <si>
    <t>Kluster Poci</t>
  </si>
  <si>
    <t>G100001064010</t>
  </si>
  <si>
    <t>G100001064012</t>
  </si>
  <si>
    <t>G100001064014</t>
  </si>
  <si>
    <t>L100001056393</t>
  </si>
  <si>
    <t>G100001064428</t>
  </si>
  <si>
    <t>https://www.gem.wiki/Kalbar-1_gas_power_station</t>
  </si>
  <si>
    <t>Kalbar-1</t>
  </si>
  <si>
    <t>L100001056117</t>
  </si>
  <si>
    <t>G100001064103</t>
  </si>
  <si>
    <t>https://www.gem.wiki/Kaltim-1_power_station</t>
  </si>
  <si>
    <t>Kaltim-1</t>
  </si>
  <si>
    <t>G100001064386</t>
  </si>
  <si>
    <t>L100001056332</t>
  </si>
  <si>
    <t>G100001064359</t>
  </si>
  <si>
    <t>https://www.gem.wiki/Bali_rental_power_station</t>
  </si>
  <si>
    <t>Bali 3</t>
  </si>
  <si>
    <t>L100000104577</t>
  </si>
  <si>
    <t>G100001064005</t>
  </si>
  <si>
    <t>https://www.gem.wiki/Sulbagsel-2_power_station</t>
  </si>
  <si>
    <t>Sulbagsel 2</t>
  </si>
  <si>
    <t>L100001056192</t>
  </si>
  <si>
    <t>G100001064194</t>
  </si>
  <si>
    <t>https://www.gem.wiki/Jawa-Bali_4_power_station</t>
  </si>
  <si>
    <t>Jawa-Bali-4</t>
  </si>
  <si>
    <t>L100001056193</t>
  </si>
  <si>
    <t>G100001064195</t>
  </si>
  <si>
    <t>https://www.gem.wiki/Jawa-Bali_5_power_station</t>
  </si>
  <si>
    <t>Jawa-Bali-5</t>
  </si>
  <si>
    <t>L100001056334</t>
  </si>
  <si>
    <t>G100001064362</t>
  </si>
  <si>
    <t>https://www.gem.wiki/Sumbagsel-2_power_station</t>
  </si>
  <si>
    <t>Sumbagsel-2</t>
  </si>
  <si>
    <t>L100001056189</t>
  </si>
  <si>
    <t>G100001064191</t>
  </si>
  <si>
    <t>https://www.gem.wiki/Jawa-Bali_2_power_station</t>
  </si>
  <si>
    <t>Jawa-Bali-2</t>
  </si>
  <si>
    <t>L100001056191</t>
  </si>
  <si>
    <t>G100001064192</t>
  </si>
  <si>
    <t>https://www.gem.wiki/Jawa-Bali_3_power_station</t>
  </si>
  <si>
    <t>Jawa-Bali-3</t>
  </si>
  <si>
    <t>unknown</t>
  </si>
  <si>
    <t>L100001056194</t>
  </si>
  <si>
    <t>G100001064196</t>
  </si>
  <si>
    <t>https://www.gem.wiki/Jawa-Bali_6_power_station</t>
  </si>
  <si>
    <t>Jawa-Bali-6</t>
  </si>
  <si>
    <t>G100001064355</t>
  </si>
  <si>
    <t>L100001056195</t>
  </si>
  <si>
    <t>G100001064197</t>
  </si>
  <si>
    <t>https://www.gem.wiki/Jawa-Bali_7_power_station</t>
  </si>
  <si>
    <t>Jawa-Bali-7</t>
  </si>
  <si>
    <t>L100001056031</t>
  </si>
  <si>
    <t>G100001064007</t>
  </si>
  <si>
    <t>https://www.gem.wiki/Sulbagsel-3_power_station</t>
  </si>
  <si>
    <t>Sulbagsel 3</t>
  </si>
  <si>
    <t>L100000104401</t>
  </si>
  <si>
    <t>G100001064003</t>
  </si>
  <si>
    <t>https://www.gem.wiki/Sulbagsel-1_power_station</t>
  </si>
  <si>
    <t>L100001056109</t>
  </si>
  <si>
    <t>G100001064097</t>
  </si>
  <si>
    <t>https://www.gem.wiki/Jawa-4_power_station</t>
  </si>
  <si>
    <t>Jawa-4</t>
  </si>
  <si>
    <t>L100000102818</t>
  </si>
  <si>
    <t>G100001063990</t>
  </si>
  <si>
    <t>https://www.gem.wiki/Jawa-5_power_station</t>
  </si>
  <si>
    <t>Jawa-5</t>
  </si>
  <si>
    <t>Bekasi</t>
  </si>
  <si>
    <t>https://www.gem.wiki/Jawa-6_power_station</t>
  </si>
  <si>
    <t>Jawa-6</t>
  </si>
  <si>
    <t>L100000407608</t>
  </si>
  <si>
    <t>G100000409931</t>
  </si>
  <si>
    <t>https://www.gem.wiki/Balikpapan_Refinery_power_plant</t>
  </si>
  <si>
    <t>Balikpapan Refinery power plant</t>
  </si>
  <si>
    <t>construction</t>
  </si>
  <si>
    <t>Balikpapan</t>
  </si>
  <si>
    <t>East Kalimantan</t>
  </si>
  <si>
    <t>power</t>
  </si>
  <si>
    <t>oil &amp; refining</t>
  </si>
  <si>
    <t>Balikpapan Refinery [100%]</t>
  </si>
  <si>
    <t>PT Pertamina (Persero) [100.0%]</t>
  </si>
  <si>
    <t>G100000409930</t>
  </si>
  <si>
    <t>G100000409929</t>
  </si>
  <si>
    <t>G100000409928</t>
  </si>
  <si>
    <t>L100000405948</t>
  </si>
  <si>
    <t>G100000405934</t>
  </si>
  <si>
    <t>https://www.gem.wiki/Riau_2_power_station</t>
  </si>
  <si>
    <t>Riau 2 power station</t>
  </si>
  <si>
    <t>Riau</t>
  </si>
  <si>
    <t>L100000102828</t>
  </si>
  <si>
    <t>G100000411720</t>
  </si>
  <si>
    <t>https://www.gem.wiki/Batu_Hijau_power_station</t>
  </si>
  <si>
    <t>Batu Hijau power station</t>
  </si>
  <si>
    <t>Batu Hijau gold mine</t>
  </si>
  <si>
    <t>West Nusa Tenggara</t>
  </si>
  <si>
    <t>other metals &amp; mining</t>
  </si>
  <si>
    <t>LNG only</t>
  </si>
  <si>
    <t>PT Amman Mineral Nusa Tenggara</t>
  </si>
  <si>
    <t>PT Amman Mineral Internasional Tbk</t>
  </si>
  <si>
    <t>G100000406293</t>
  </si>
  <si>
    <t>G100000406292</t>
  </si>
  <si>
    <t>PLTMG WE 1- PT BATAMINDO INVESTMENT CAKRAWALA</t>
  </si>
  <si>
    <t>operating</t>
  </si>
  <si>
    <t>Batam</t>
  </si>
  <si>
    <t>Riau Islands</t>
  </si>
  <si>
    <t>PLTMG WE 5- PT BATAMINDO INVESTMENT CAKRAWALA</t>
  </si>
  <si>
    <t>PLTMG WE 6- PT BATAMINDO INVESTMENT CAKRAWALA</t>
  </si>
  <si>
    <t>PLTMG WE 8- PT BATAMINDO INVESTMENT CAKRAWALA</t>
  </si>
  <si>
    <t>DSS_TNG PLTG #1</t>
  </si>
  <si>
    <t>Serang</t>
  </si>
  <si>
    <t>DSS_TNG PLTG #2</t>
  </si>
  <si>
    <t>PT MIWON INDONESIA</t>
  </si>
  <si>
    <t>Gresik</t>
  </si>
  <si>
    <t>East Jawa</t>
  </si>
  <si>
    <t>Electrostatic precipitator</t>
  </si>
  <si>
    <t>PT AMERTA INDAH OTSUKA KEJAYAN</t>
  </si>
  <si>
    <t>Pasuruan</t>
  </si>
  <si>
    <t>PLTG PT AJINOMOTO INDONESIA</t>
  </si>
  <si>
    <t>Mojokerto</t>
  </si>
  <si>
    <t>PLTG SASA INTI</t>
  </si>
  <si>
    <t>Probolinggo</t>
  </si>
  <si>
    <t>PT WILMAR NABATI INDONESIA</t>
  </si>
  <si>
    <t>PLTG GLUGUR #3</t>
  </si>
  <si>
    <t>Medan City</t>
  </si>
  <si>
    <t>PLTG IPP PRABUMULIH</t>
  </si>
  <si>
    <t>Prabumulih</t>
  </si>
  <si>
    <t>South Sumatra</t>
  </si>
  <si>
    <t>PLTG TELLO #1 (WESTCAN)</t>
  </si>
  <si>
    <t>Makassar</t>
  </si>
  <si>
    <t>Sulawesi Selatan</t>
  </si>
  <si>
    <t>PLTG SW TARAKAN (PERSUDA)</t>
  </si>
  <si>
    <t>North Kalimantan</t>
  </si>
  <si>
    <t>PLTGU IPP MUSI II (PT PURA DAYA PRIMA)</t>
  </si>
  <si>
    <t>Palembang</t>
  </si>
  <si>
    <t>PT Pura daya prima</t>
  </si>
  <si>
    <t>PLTG GLUGUR #1</t>
  </si>
  <si>
    <t>PLTG SEMBERAH #1</t>
  </si>
  <si>
    <t>Kutai Kartanegara</t>
  </si>
  <si>
    <t>PLTG SEMBERAH #2</t>
  </si>
  <si>
    <t>PLTG TELUK LEMBU #3</t>
  </si>
  <si>
    <t>Pekanbaru</t>
  </si>
  <si>
    <t>PLTG BALAI PUNGUT DURI #2</t>
  </si>
  <si>
    <t>Bengkalis</t>
  </si>
  <si>
    <t>PLTG SUNYARAGI #2</t>
  </si>
  <si>
    <t>Cirebon</t>
  </si>
  <si>
    <t>West Jawa</t>
  </si>
  <si>
    <t>PLTG SUNYARAGI #3</t>
  </si>
  <si>
    <t>PLTG SUNYARAGI #4</t>
  </si>
  <si>
    <t>PLTG PAYA PASIR #4</t>
  </si>
  <si>
    <t>PLTG TELLO #3 (ALSTHOM)</t>
  </si>
  <si>
    <t>PLTG TALANG DUKU #1</t>
  </si>
  <si>
    <t>Banyuasin</t>
  </si>
  <si>
    <t>PLTG PUNAGAYA #3 (ALSTHOM) BLACK START EX PLTG TELO #2</t>
  </si>
  <si>
    <t>PLTG PAYA PASIR #5</t>
  </si>
  <si>
    <t>PLTG TARAHAN #1</t>
  </si>
  <si>
    <t>Bandar Lampung</t>
  </si>
  <si>
    <t>Lampung</t>
  </si>
  <si>
    <t>PLTG BOT TALANG DUKU #02</t>
  </si>
  <si>
    <t>PLTG SEBALANG #1 EX PLTG PAUH LIMO #2</t>
  </si>
  <si>
    <t>South Lampung</t>
  </si>
  <si>
    <t>PLTG PAUH LIMO #3</t>
  </si>
  <si>
    <t>Padang City</t>
  </si>
  <si>
    <t>West Sumatra</t>
  </si>
  <si>
    <t>PLTG TELUK SIRIH #1 EX PLTG PAUH LIMO #1</t>
  </si>
  <si>
    <t>PLTG TRISAKTI #1</t>
  </si>
  <si>
    <t>Banjarmasin</t>
  </si>
  <si>
    <t>PLTG TELUK LEMBU #1</t>
  </si>
  <si>
    <t>PLTG TELUK LEMBU #2</t>
  </si>
  <si>
    <t>Gresik Gas Cogeneration Plant (GGCP)</t>
  </si>
  <si>
    <t>PLTMG PT Kertas Kraft Aceh (KKA)</t>
  </si>
  <si>
    <t>Banda Aceh</t>
  </si>
  <si>
    <t>PLTG IPP MPP NIAS</t>
  </si>
  <si>
    <t>Gunungsitoli</t>
  </si>
  <si>
    <t>PLTG IPP MPP SUGE (PT PLN BATAM)</t>
  </si>
  <si>
    <t>Badau</t>
  </si>
  <si>
    <t>Belitung</t>
  </si>
  <si>
    <t>PLTG CILACAP #2</t>
  </si>
  <si>
    <t>Cilacap</t>
  </si>
  <si>
    <t>Central Jawa</t>
  </si>
  <si>
    <t>PLTG CILACAP #1</t>
  </si>
  <si>
    <t>PLTG PLN-ANTAM HALMAHERA TIMUR #2</t>
  </si>
  <si>
    <t>East Halmahera</t>
  </si>
  <si>
    <t>North Maluku</t>
  </si>
  <si>
    <t>Ferronickel (FeNi) smelter</t>
  </si>
  <si>
    <t>PLTG TELLO #4</t>
  </si>
  <si>
    <t>PLTG TELLO #5</t>
  </si>
  <si>
    <t>PLTG SIANTAN #1 (EGT ALSTOM)</t>
  </si>
  <si>
    <t>Pontianak</t>
  </si>
  <si>
    <t>West Kalimantan</t>
  </si>
  <si>
    <t>PLTG PAYA PASIR #7</t>
  </si>
  <si>
    <t>PLTG BOT TALANG DUKU #03</t>
  </si>
  <si>
    <t>INDOMECENT TUNGGAL PERKASA</t>
  </si>
  <si>
    <t>PLTG GRESIK #1</t>
  </si>
  <si>
    <t>PLTG GRESIK #2</t>
  </si>
  <si>
    <t>PLTG BORANG #01 EX PLTG BOT BORANG #01</t>
  </si>
  <si>
    <t>PLTG BORANG #01 EX PLTG BOT BORANG #02</t>
  </si>
  <si>
    <t>PLTG BORANG #03</t>
  </si>
  <si>
    <t>PLTG IPP SAKO</t>
  </si>
  <si>
    <t>PLTGU 120MW</t>
  </si>
  <si>
    <t>Cilegon</t>
  </si>
  <si>
    <t>T. UNCANG (ELB)</t>
  </si>
  <si>
    <t>PT Energi Listrik Batam (ELB)</t>
  </si>
  <si>
    <t>PLTG PESANGGARAN #1</t>
  </si>
  <si>
    <t>Pesanggaran</t>
  </si>
  <si>
    <t>PLTG PESANGGARAN #2</t>
  </si>
  <si>
    <t>PLTG PESANGGARAN #3</t>
  </si>
  <si>
    <t>PLTG PESANGGARAN #4</t>
  </si>
  <si>
    <t>https://www.gem.wiki/Power_Sector_Transition_in_Bali</t>
  </si>
  <si>
    <t>Pemaron #1</t>
  </si>
  <si>
    <t>Buleleng</t>
  </si>
  <si>
    <t>Pemaron #2</t>
  </si>
  <si>
    <t>L100000102820</t>
  </si>
  <si>
    <t>G100000107980</t>
  </si>
  <si>
    <t>https://www.gem.wiki/Pindo-Deli-Ii_power_station</t>
  </si>
  <si>
    <t>Pindo-Deli-Ii power station</t>
  </si>
  <si>
    <t>Kec Teluk Jambe - Karawang</t>
  </si>
  <si>
    <t>West Java</t>
  </si>
  <si>
    <t>pulp &amp; paper</t>
  </si>
  <si>
    <t>PT Pindo Deli Pulp and Paper Mills</t>
  </si>
  <si>
    <t>PT APP Purinusa Ekapersada; small shareholder(s)</t>
  </si>
  <si>
    <t>Subcritical Steam Turbine</t>
  </si>
  <si>
    <t>L100000408080</t>
  </si>
  <si>
    <t>G100000411311</t>
  </si>
  <si>
    <t>https://www.gem.wiki/Payo_Selincah_power_station</t>
  </si>
  <si>
    <t>Payo Selincah power station</t>
  </si>
  <si>
    <t>Jambi</t>
  </si>
  <si>
    <t>PT Elektrindo Perkasa Utama [100%]</t>
  </si>
  <si>
    <t>PT Elektrindo Perkasa Utama [100.0%]</t>
  </si>
  <si>
    <t>G100000411310</t>
  </si>
  <si>
    <t>L100000405940</t>
  </si>
  <si>
    <t>G100000405923</t>
  </si>
  <si>
    <t>https://www.gem.wiki/Kaltim_power_station</t>
  </si>
  <si>
    <t>Kaltim power station</t>
  </si>
  <si>
    <t>Kutai Kartanegara regency</t>
  </si>
  <si>
    <t>G100000405924</t>
  </si>
  <si>
    <t>L100000405287</t>
  </si>
  <si>
    <t>G100000404262</t>
  </si>
  <si>
    <t>https://www.gem.wiki/Perak_power_station</t>
  </si>
  <si>
    <t>Perak power station</t>
  </si>
  <si>
    <t>Surabaya City</t>
  </si>
  <si>
    <t>PT PLN Indonesia Power [100%]</t>
  </si>
  <si>
    <t>Steam Turbine</t>
  </si>
  <si>
    <t>G100000404263</t>
  </si>
  <si>
    <t>L100000408927</t>
  </si>
  <si>
    <t>G100000413195</t>
  </si>
  <si>
    <t>https://www.gem.wiki/Sumbawa-1_power_station</t>
  </si>
  <si>
    <t>Sumbawa-1 power station</t>
  </si>
  <si>
    <t>Badas</t>
  </si>
  <si>
    <t>Internal Combustion Engine (ICE)</t>
  </si>
  <si>
    <t>L100000405293</t>
  </si>
  <si>
    <t>G100000412583</t>
  </si>
  <si>
    <t>https://www.gem.wiki/Tambak_Lorok_power_station</t>
  </si>
  <si>
    <t>Tambak Lorok power station</t>
  </si>
  <si>
    <t>Tanjung Mas</t>
  </si>
  <si>
    <t>Central Java</t>
  </si>
  <si>
    <t>Oil only</t>
  </si>
  <si>
    <t>G100000412582</t>
  </si>
  <si>
    <t>PLTG IPP MPP PARIT BARU #1 (PT PLN BATAM)</t>
  </si>
  <si>
    <t>PLTG IPP MPP PARIT BARU #2 (PT PLN BATAM)</t>
  </si>
  <si>
    <t>PLTG IPP MPP PAYA PASIR</t>
  </si>
  <si>
    <t>PLTG IPP MPP JERANJANG LOMBOK (PT PLN BATAM)</t>
  </si>
  <si>
    <t>West Lombok</t>
  </si>
  <si>
    <t>L100000408071</t>
  </si>
  <si>
    <t>G100000411305</t>
  </si>
  <si>
    <t>https://www.gem.wiki/Vpower_Jambi_power_station</t>
  </si>
  <si>
    <t>Vpower Jambi power station</t>
  </si>
  <si>
    <t>Payo Selincah</t>
  </si>
  <si>
    <t>VPower Group International Holdings Ltd [100%]</t>
  </si>
  <si>
    <t>VPower Group International Holdings Ltd [100.0%]</t>
  </si>
  <si>
    <t>L100000408070</t>
  </si>
  <si>
    <t>G100000411304</t>
  </si>
  <si>
    <t>https://www.gem.wiki/Vpower_Palembang_power_station</t>
  </si>
  <si>
    <t>Vpower Palembang power station</t>
  </si>
  <si>
    <t>G100000411315</t>
  </si>
  <si>
    <t>L100000408079</t>
  </si>
  <si>
    <t>G100000411314</t>
  </si>
  <si>
    <t>https://www.gem.wiki/Lueng_Bata_power_station</t>
  </si>
  <si>
    <t>Lueng Bata power station</t>
  </si>
  <si>
    <t>L100001048420</t>
  </si>
  <si>
    <t>G100001055585</t>
  </si>
  <si>
    <t>https://www.gem.wiki/BMPP_Nusantara-2_power_station</t>
  </si>
  <si>
    <t>BMPP Nusantara-2 power station</t>
  </si>
  <si>
    <t>Southeast Sulawesi</t>
  </si>
  <si>
    <t>iron &amp; steel</t>
  </si>
  <si>
    <t>PT PLN Indonesia Power</t>
  </si>
  <si>
    <t>L100000408066</t>
  </si>
  <si>
    <t>G100000411324</t>
  </si>
  <si>
    <t>https://www.gem.wiki/BMPP_Nusantara-1_power_station</t>
  </si>
  <si>
    <t>BMPP Nusantara-1 power station</t>
  </si>
  <si>
    <t>Pulau Ambon</t>
  </si>
  <si>
    <t>Maluku</t>
  </si>
  <si>
    <t>L100000405952</t>
  </si>
  <si>
    <t>G100000405938</t>
  </si>
  <si>
    <t>https://www.gem.wiki/Tanjung_Batu_power_station</t>
  </si>
  <si>
    <t>Tanjung Batu power station</t>
  </si>
  <si>
    <t>Tenggarong Seberang</t>
  </si>
  <si>
    <t>mg/Nm3</t>
  </si>
  <si>
    <t>L100000405265</t>
  </si>
  <si>
    <t>G100000405909</t>
  </si>
  <si>
    <t>https://www.gem.wiki/Belawan_power_station</t>
  </si>
  <si>
    <t>Belawan power station</t>
  </si>
  <si>
    <t>Belawan</t>
  </si>
  <si>
    <t>G100000405910</t>
  </si>
  <si>
    <t>G100000405911</t>
  </si>
  <si>
    <t>G100000405912</t>
  </si>
  <si>
    <t>PT DONGGI SENORO LNG</t>
  </si>
  <si>
    <t>Banggai</t>
  </si>
  <si>
    <t>Sulawesi Tengah</t>
  </si>
  <si>
    <t>Sulawesi LNG Development Ltd (59.9%) (Mitsubishi Corp (75%) dan Kogas (25%), Pertamina (29%), dan Medco (11.1%)</t>
  </si>
  <si>
    <t>LNG liquefaction (not electric gen.)</t>
  </si>
  <si>
    <t>PLTG IPP MPP AIR ANYIR (PT PLN BATAM)</t>
  </si>
  <si>
    <t>Bangka</t>
  </si>
  <si>
    <t>Bangka Belitung Island</t>
  </si>
  <si>
    <t>L100000408069</t>
  </si>
  <si>
    <t>G100000411323</t>
  </si>
  <si>
    <t>https://www.gem.wiki/Cilegon_KDL_power_station</t>
  </si>
  <si>
    <t>Cilegon KDL power station</t>
  </si>
  <si>
    <t>G100000411321</t>
  </si>
  <si>
    <t>G100000411320</t>
  </si>
  <si>
    <t>G100000411319</t>
  </si>
  <si>
    <t>G100000411318</t>
  </si>
  <si>
    <t>L100000405279</t>
  </si>
  <si>
    <t>G100000404254</t>
  </si>
  <si>
    <t>https://www.gem.wiki/Keramasan_PLN_power_station</t>
  </si>
  <si>
    <t>Keramasan PLN power station</t>
  </si>
  <si>
    <t>Palembang City</t>
  </si>
  <si>
    <t>L100000405268</t>
  </si>
  <si>
    <t>G100000404308</t>
  </si>
  <si>
    <t>https://www.gem.wiki/Citeureup_Cement_Works_power_station</t>
  </si>
  <si>
    <t>Citeureup Cement Works power station</t>
  </si>
  <si>
    <t>Bogor</t>
  </si>
  <si>
    <t>cement &amp; building</t>
  </si>
  <si>
    <t>PT Indocement Tunggal Prakarsa Tbk [100%]</t>
  </si>
  <si>
    <t>PT Indocement Tunggal Prakarsa Tbk [100.0%]</t>
  </si>
  <si>
    <t>L100000408082</t>
  </si>
  <si>
    <t>G100000411313</t>
  </si>
  <si>
    <t>https://www.gem.wiki/Panaran_power_station</t>
  </si>
  <si>
    <t>Panaran power station</t>
  </si>
  <si>
    <t>Batam City</t>
  </si>
  <si>
    <t>PT Mitra Energi Batam [100%]</t>
  </si>
  <si>
    <t>PT Medco Energi Internasional Tbk [42.4%]</t>
  </si>
  <si>
    <t>G100000411312</t>
  </si>
  <si>
    <t>PT Dalle Energy Batam [100%]</t>
  </si>
  <si>
    <t>PT Medco Energi Internasional Tbk [48.0%]</t>
  </si>
  <si>
    <t>PLTG IPP MPP BALAI PUNGUT (PT PLN BATAM)</t>
  </si>
  <si>
    <t>SKK MIGAS JABANUSA</t>
  </si>
  <si>
    <t>L100000408928</t>
  </si>
  <si>
    <t>G100000413196</t>
  </si>
  <si>
    <t>https://www.gem.wiki/Mandira_1_power_station</t>
  </si>
  <si>
    <t>Mandira 1 power station</t>
  </si>
  <si>
    <t>Bumi Pratama Mandira</t>
  </si>
  <si>
    <t>PT Wachyuni Mandira [100%]</t>
  </si>
  <si>
    <t>PT Wachyuni Mandira [100.0%]</t>
  </si>
  <si>
    <t>L100000405285</t>
  </si>
  <si>
    <t>G100000404243</t>
  </si>
  <si>
    <t>https://www.gem.wiki/North_Duri_cogeneration_power_station</t>
  </si>
  <si>
    <t>North Duri cogeneration power station</t>
  </si>
  <si>
    <t>Bumbung</t>
  </si>
  <si>
    <t>G100000404244</t>
  </si>
  <si>
    <t>G100000404245</t>
  </si>
  <si>
    <t>L100000405266</t>
  </si>
  <si>
    <t>G100000404302</t>
  </si>
  <si>
    <t>https://www.gem.wiki/Borang_power_station</t>
  </si>
  <si>
    <t>Borang power station</t>
  </si>
  <si>
    <t>Perajen</t>
  </si>
  <si>
    <t>L100000405936</t>
  </si>
  <si>
    <t>G100000405916</t>
  </si>
  <si>
    <t>https://www.gem.wiki/Gorontalo_power_station</t>
  </si>
  <si>
    <t>Gorontalo power station</t>
  </si>
  <si>
    <t>Maleo</t>
  </si>
  <si>
    <t>Gorontalo</t>
  </si>
  <si>
    <t>L100000405272</t>
  </si>
  <si>
    <t>G100000404268</t>
  </si>
  <si>
    <t>https://www.gem.wiki/Gresik_power_station</t>
  </si>
  <si>
    <t>Gresik power station</t>
  </si>
  <si>
    <t>Singosari</t>
  </si>
  <si>
    <t>G100000404269</t>
  </si>
  <si>
    <t>PLTG IPP MPP TARAHAN (PT PLN BATAM)</t>
  </si>
  <si>
    <t>L100000405275</t>
  </si>
  <si>
    <t>G100000404251</t>
  </si>
  <si>
    <t>https://www.gem.wiki/Jababeka_Industrial_Estate_power_station</t>
  </si>
  <si>
    <t>Jababeka Industrial Estate power station</t>
  </si>
  <si>
    <t>Cikarang Utara</t>
  </si>
  <si>
    <t>PT Cikarang Listrindo Tbk [100%]</t>
  </si>
  <si>
    <t>PT Cikarang Listrindo Tbk [100.0%]</t>
  </si>
  <si>
    <t>L100000405273</t>
  </si>
  <si>
    <t>G100000404309</t>
  </si>
  <si>
    <t>https://www.gem.wiki/Gunung_Megang_power_station</t>
  </si>
  <si>
    <t>Gunung Megang power station</t>
  </si>
  <si>
    <t>Panang Jaya</t>
  </si>
  <si>
    <t>PT Meppo-Gen [100%]</t>
  </si>
  <si>
    <t>Sintesa Group [100.0%]</t>
  </si>
  <si>
    <t>mg/NM3</t>
  </si>
  <si>
    <t>L100000408085</t>
  </si>
  <si>
    <t>G100000411306</t>
  </si>
  <si>
    <t>https://www.gem.wiki/Sungai_Gelam_power_station</t>
  </si>
  <si>
    <t>Sungai Gelam power station</t>
  </si>
  <si>
    <t>Sei Gelam</t>
  </si>
  <si>
    <t>L100000408073</t>
  </si>
  <si>
    <t>G100000411317</t>
  </si>
  <si>
    <t>https://www.gem.wiki/Duri_power_station</t>
  </si>
  <si>
    <t>Duri power station</t>
  </si>
  <si>
    <t>Duri</t>
  </si>
  <si>
    <t>L100000408063</t>
  </si>
  <si>
    <t>G100000411326</t>
  </si>
  <si>
    <t>https://www.gem.wiki/Batamindo_Industrial_Park_power_station</t>
  </si>
  <si>
    <t>Batamindo Industrial Park power station</t>
  </si>
  <si>
    <t>Mukakuning - Pulau Batam</t>
  </si>
  <si>
    <t>PT Batamindo Investment Cakrawala [100%]</t>
  </si>
  <si>
    <t>Gallant Venture Ltd [100.0%]</t>
  </si>
  <si>
    <t>L100000405949</t>
  </si>
  <si>
    <t>G100000405935</t>
  </si>
  <si>
    <t>https://www.gem.wiki/Senipah_power_station</t>
  </si>
  <si>
    <t>Senipah power station</t>
  </si>
  <si>
    <t>Kutai Regency,</t>
  </si>
  <si>
    <t>PT Kertanegara Energi Perkasa [100%]</t>
  </si>
  <si>
    <t>Highland Strategic Holdings Pte Ltd [62.0%]; unknown [17.0%]; PT Toba Sejahtra [10.0%]; PT Aserra Capital [6.0%]; PT Sinergi Sukses Utama [5.0%]</t>
  </si>
  <si>
    <t>G100000404272</t>
  </si>
  <si>
    <t>G100000411322</t>
  </si>
  <si>
    <t>L100000407611</t>
  </si>
  <si>
    <t>G100000409927</t>
  </si>
  <si>
    <t>https://www.gem.wiki/Tanjunguncang_power_station</t>
  </si>
  <si>
    <t>Tanjunguncang power station</t>
  </si>
  <si>
    <t>PT PLN Batam [100%]</t>
  </si>
  <si>
    <t>L100000405274</t>
  </si>
  <si>
    <t>G100000404310</t>
  </si>
  <si>
    <t>https://www.gem.wiki/Indralaya_power_station</t>
  </si>
  <si>
    <t>Indralaya power station</t>
  </si>
  <si>
    <t>Timbangan</t>
  </si>
  <si>
    <t>L100000407149</t>
  </si>
  <si>
    <t>G100000408640</t>
  </si>
  <si>
    <t>https://www.gem.wiki/Karpowership_(Indonesia)_Zeynep_Sultan_power_station</t>
  </si>
  <si>
    <t>Karpowership (Indonesia) Zeynep Sultan power station</t>
  </si>
  <si>
    <t>Amurang</t>
  </si>
  <si>
    <t>North Sulawesi</t>
  </si>
  <si>
    <t>Karpowership [100%]</t>
  </si>
  <si>
    <t>Karadeniz Holding AŞ</t>
  </si>
  <si>
    <t>Internal Combustion Combined Cycle (ICCC)</t>
  </si>
  <si>
    <t>L100000408074</t>
  </si>
  <si>
    <t>G100000411316</t>
  </si>
  <si>
    <t>https://www.gem.wiki/Grasberg_Mine_power_station</t>
  </si>
  <si>
    <t>Grasberg Mine power station</t>
  </si>
  <si>
    <t>Tembagapura</t>
  </si>
  <si>
    <t>PT Freeport Indonesia [100%]</t>
  </si>
  <si>
    <t>FreePort-McMoran Inc [48.8%]; PT Mineral Industri Indonesia (Persero)</t>
  </si>
  <si>
    <t>L100000405264</t>
  </si>
  <si>
    <t>G100000404255</t>
  </si>
  <si>
    <t>https://www.gem.wiki/Bekasi_power_station</t>
  </si>
  <si>
    <t>Bekasi power station</t>
  </si>
  <si>
    <t>Cikarang</t>
  </si>
  <si>
    <t>PT Bekasi Power [100%]</t>
  </si>
  <si>
    <t>PT Kawasan Industri Jababeka Tbk [100.0%]</t>
  </si>
  <si>
    <t>L100000405269</t>
  </si>
  <si>
    <t>G100000404252</t>
  </si>
  <si>
    <t>https://www.gem.wiki/Gilimanuk_power_station</t>
  </si>
  <si>
    <t>Gilimanuk power station</t>
  </si>
  <si>
    <t>Gilimanuk</t>
  </si>
  <si>
    <t>L100000405289</t>
  </si>
  <si>
    <t>G100000404287</t>
  </si>
  <si>
    <t>https://www.gem.wiki/Sengkang_power_station</t>
  </si>
  <si>
    <t>Sengkang power station</t>
  </si>
  <si>
    <t>Sengkang</t>
  </si>
  <si>
    <t>South Sulawesi</t>
  </si>
  <si>
    <t>PT Energi Sengkang [100%]</t>
  </si>
  <si>
    <t>Energy World Corp Ltd [95.0%]; PT Medco Energi Internasional Tbk [5.0%]</t>
  </si>
  <si>
    <t>L100000405942</t>
  </si>
  <si>
    <t>G100000405928</t>
  </si>
  <si>
    <t>https://www.gem.wiki/Lombok_Peaker_power_station</t>
  </si>
  <si>
    <t>Lombok Peaker power station</t>
  </si>
  <si>
    <t>Mataram</t>
  </si>
  <si>
    <t>L100000408064</t>
  </si>
  <si>
    <t>G100000411327</t>
  </si>
  <si>
    <t>https://www.gem.wiki/Bangkanai_II_power_station</t>
  </si>
  <si>
    <t>Bangkanai II power station</t>
  </si>
  <si>
    <t>Kab Barito Utara</t>
  </si>
  <si>
    <t>Central Kalimantan</t>
  </si>
  <si>
    <t>L100000405284</t>
  </si>
  <si>
    <t>G100000404279</t>
  </si>
  <si>
    <t>https://www.gem.wiki/Muara_Tawar_power_station</t>
  </si>
  <si>
    <t>Muara Tawar power station</t>
  </si>
  <si>
    <t>G100000406227</t>
  </si>
  <si>
    <t>G100000406226</t>
  </si>
  <si>
    <t>G100000404280</t>
  </si>
  <si>
    <t>G100000406229</t>
  </si>
  <si>
    <t>G100000406228</t>
  </si>
  <si>
    <t>L100000408065</t>
  </si>
  <si>
    <t>G100000411328</t>
  </si>
  <si>
    <t>https://www.gem.wiki/Bangkanai_I_power_station</t>
  </si>
  <si>
    <t>Bangkanai I power station</t>
  </si>
  <si>
    <t>L100000405286</t>
  </si>
  <si>
    <t>G100000404311</t>
  </si>
  <si>
    <t>https://www.gem.wiki/Palembang_Timur_power_station</t>
  </si>
  <si>
    <t>Palembang Timur power station</t>
  </si>
  <si>
    <t>PT Asrigita Prasarana [100%]</t>
  </si>
  <si>
    <t>PT Asrigita Prasarana [100.0%]</t>
  </si>
  <si>
    <t>L100000408067</t>
  </si>
  <si>
    <t>G100000411325</t>
  </si>
  <si>
    <t>https://www.gem.wiki/Belawan_Berkat_power_station</t>
  </si>
  <si>
    <t>Belawan Berkat power station</t>
  </si>
  <si>
    <t>Kab Karo - Medan</t>
  </si>
  <si>
    <t>PT Berkat Bima Sentana [100%]</t>
  </si>
  <si>
    <t>PT Berkat Bima Sentana [100.0%]</t>
  </si>
  <si>
    <t>MM2100</t>
  </si>
  <si>
    <t>G100000404288</t>
  </si>
  <si>
    <t>L100000408062</t>
  </si>
  <si>
    <t>G100000411330</t>
  </si>
  <si>
    <t>https://www.gem.wiki/Arun_I_power_station</t>
  </si>
  <si>
    <t>Arun I power station</t>
  </si>
  <si>
    <t>Lhokseumawe</t>
  </si>
  <si>
    <t>L100000408081</t>
  </si>
  <si>
    <t>G100000411309</t>
  </si>
  <si>
    <t>https://www.gem.wiki/Pesanggaran_power_station</t>
  </si>
  <si>
    <t>Pesanggaran power station</t>
  </si>
  <si>
    <t>mg/m3</t>
  </si>
  <si>
    <t>G100000404270</t>
  </si>
  <si>
    <t>G100000404271</t>
  </si>
  <si>
    <t>L100000405944</t>
  </si>
  <si>
    <t>G100000405930</t>
  </si>
  <si>
    <t>https://www.gem.wiki/Makassar_power_station</t>
  </si>
  <si>
    <t>Makassar power station</t>
  </si>
  <si>
    <t>L100000405283</t>
  </si>
  <si>
    <t>G100000410586</t>
  </si>
  <si>
    <t>https://www.gem.wiki/Muara_Karang_power_station</t>
  </si>
  <si>
    <t>Muara Karang power station</t>
  </si>
  <si>
    <t>Pluit</t>
  </si>
  <si>
    <t>Jakarta</t>
  </si>
  <si>
    <t>G100000410587</t>
  </si>
  <si>
    <t>G100000412581</t>
  </si>
  <si>
    <t>L100000408061</t>
  </si>
  <si>
    <t>G100000411329</t>
  </si>
  <si>
    <t>https://www.gem.wiki/Arun_II_power_station</t>
  </si>
  <si>
    <t>Arun II power station</t>
  </si>
  <si>
    <t>G100000404282</t>
  </si>
  <si>
    <t>PLTG IPP MCTN (PT MCTN)</t>
  </si>
  <si>
    <t>PT PLN Mandau Cipta Tenaga Nusantara (MCTN)</t>
  </si>
  <si>
    <t>supply to oil/gas sector, Blok Rokan</t>
  </si>
  <si>
    <t>Oil/gas</t>
  </si>
  <si>
    <t>L100000405288</t>
  </si>
  <si>
    <t>G100000400921</t>
  </si>
  <si>
    <t>https://www.gem.wiki/Riau_(MRPR)_power_station</t>
  </si>
  <si>
    <t>Riau (MRPR) power station</t>
  </si>
  <si>
    <t>Central Sumatra</t>
  </si>
  <si>
    <t>RATCH Group PCL [49%]; PT Medco Power Indonesia [51%]</t>
  </si>
  <si>
    <t>RATCH Group PCL [49.0%]; PT Medco Power Internasional [26.0%]; PT Medco Energi Internasional Tbk [25.0%]</t>
  </si>
  <si>
    <t>L100000408083</t>
  </si>
  <si>
    <t>G100000411307</t>
  </si>
  <si>
    <t>https://www.gem.wiki/Rokan_Block_power_station</t>
  </si>
  <si>
    <t>Rokan Block power station</t>
  </si>
  <si>
    <t>Rokan Hulu</t>
  </si>
  <si>
    <t>G100000406223</t>
  </si>
  <si>
    <t>G100000406225</t>
  </si>
  <si>
    <t>G100000404281</t>
  </si>
  <si>
    <t>G100000405913</t>
  </si>
  <si>
    <t>G100000405914</t>
  </si>
  <si>
    <t>L100000405270</t>
  </si>
  <si>
    <t>G100000405917</t>
  </si>
  <si>
    <t>https://www.gem.wiki/Grati_power_station</t>
  </si>
  <si>
    <t>Grati power station</t>
  </si>
  <si>
    <t>Pasir Panjang</t>
  </si>
  <si>
    <t>G100000405918</t>
  </si>
  <si>
    <t>G100000404258</t>
  </si>
  <si>
    <t>L100000407148</t>
  </si>
  <si>
    <t>G100000408639</t>
  </si>
  <si>
    <t>https://www.gem.wiki/Karpowership_(Indonesia)_Onur_Sultan_power_station</t>
  </si>
  <si>
    <t>Karpowership (Indonesia) Onur Sultan power station</t>
  </si>
  <si>
    <t>L100000405271</t>
  </si>
  <si>
    <t>G100000400918</t>
  </si>
  <si>
    <t>https://www.gem.wiki/Gresik_AKR_Estate_power_station</t>
  </si>
  <si>
    <t>Gresik AKR Estate power station</t>
  </si>
  <si>
    <t>PT AKR Corporindo Tbk [100%]</t>
  </si>
  <si>
    <t>PT AKR Corporindo Tbk [100.0%]</t>
  </si>
  <si>
    <t>G100000404276</t>
  </si>
  <si>
    <t>G100000404275</t>
  </si>
  <si>
    <t>G100000404292</t>
  </si>
  <si>
    <t>G100000404293</t>
  </si>
  <si>
    <t>G100000404265</t>
  </si>
  <si>
    <t>G100000404266</t>
  </si>
  <si>
    <t>G100000404267</t>
  </si>
  <si>
    <t>L100000405294</t>
  </si>
  <si>
    <t>G100000404283</t>
  </si>
  <si>
    <t>https://www.gem.wiki/Tanjung_Priok_power_station</t>
  </si>
  <si>
    <t>Tanjung Priok power station</t>
  </si>
  <si>
    <t>Ancol</t>
  </si>
  <si>
    <t>G100000404284</t>
  </si>
  <si>
    <t>G100000404277</t>
  </si>
  <si>
    <t>G100000404274</t>
  </si>
  <si>
    <t>L100000405267</t>
  </si>
  <si>
    <t>G100000404257</t>
  </si>
  <si>
    <t>https://www.gem.wiki/Cilegon_power_station</t>
  </si>
  <si>
    <t>Cilegon power station</t>
  </si>
  <si>
    <t>Margasari</t>
  </si>
  <si>
    <t>G100000404285</t>
  </si>
  <si>
    <t>G100000404250</t>
  </si>
  <si>
    <t>G100000404300</t>
  </si>
  <si>
    <t>L100000405276</t>
  </si>
  <si>
    <t>G100000400914</t>
  </si>
  <si>
    <t>https://www.gem.wiki/PLTGU_Jawa-1_power_station</t>
  </si>
  <si>
    <t>PLTGU Jawa-1 power station</t>
  </si>
  <si>
    <t>Cilamaya</t>
  </si>
  <si>
    <t>PT Jawa Satu Power [100%]</t>
  </si>
  <si>
    <t>Marubeni Corp [40.0%]; PT Pertamina (Persero) [40.0%]; Sojitz Corp [20.0%]</t>
  </si>
  <si>
    <t>G100000410593</t>
  </si>
  <si>
    <t>G100000404286</t>
  </si>
  <si>
    <t>G100000405925</t>
  </si>
  <si>
    <t>pre-construction</t>
  </si>
  <si>
    <t>G100000405926</t>
  </si>
  <si>
    <t>G100000410639</t>
  </si>
  <si>
    <t>L100000102824</t>
  </si>
  <si>
    <t>G100000404313</t>
  </si>
  <si>
    <t>https://www.gem.wiki/Kalbar-2_power_station</t>
  </si>
  <si>
    <t>Kalbar-2 power station</t>
  </si>
  <si>
    <t>L100000408084</t>
  </si>
  <si>
    <t>G100000411308</t>
  </si>
  <si>
    <t>https://www.gem.wiki/Riau_Peaker_power_station</t>
  </si>
  <si>
    <t>Riau Peaker power station</t>
  </si>
  <si>
    <t>L100000102773</t>
  </si>
  <si>
    <t>G100001018115</t>
  </si>
  <si>
    <t>https://www.gem.wiki/Amamapare_Port_power_station</t>
  </si>
  <si>
    <t>Amamapare Port power station</t>
  </si>
  <si>
    <t>Amamapare</t>
  </si>
  <si>
    <t>PT Puncakjaya Power [100%]</t>
  </si>
  <si>
    <t>PT Puncakjaya Power [100.0%]</t>
  </si>
  <si>
    <t>Kubu Raya regency,</t>
  </si>
  <si>
    <t>L100000408313</t>
  </si>
  <si>
    <t>G100000411719</t>
  </si>
  <si>
    <t>https://www.gem.wiki/Bahodopi_Vale_Nickel_Smelter_power_station</t>
  </si>
  <si>
    <t>Bahodopi Vale Nickel Smelter power station</t>
  </si>
  <si>
    <t>Bahomotefe</t>
  </si>
  <si>
    <t>Central Sulawesi</t>
  </si>
  <si>
    <t>PT Vale Indonesia Tbk [100%]</t>
  </si>
  <si>
    <t>PT Vale Indonesia Tbk [100.0%]</t>
  </si>
  <si>
    <t>N/A</t>
  </si>
  <si>
    <t>Power Plant Listing</t>
  </si>
  <si>
    <t>Province</t>
  </si>
  <si>
    <t>South Sulawesi and West Sulawesi</t>
  </si>
  <si>
    <t>Java or Bali</t>
  </si>
  <si>
    <t>South Sumatra Region</t>
  </si>
  <si>
    <t>East Java (Madura Island)</t>
  </si>
  <si>
    <t>Varies, possibly Java or Sumatra</t>
  </si>
  <si>
    <t>Varies, typically Java or Sumatra</t>
  </si>
  <si>
    <t>Kalimantan Region (various)</t>
  </si>
  <si>
    <t>North Kalimantan and East Kalimantan</t>
  </si>
  <si>
    <t>South Kalimantan and Central Kalimantan</t>
  </si>
  <si>
    <t>West Nusa Tenggara (Lombok Island)</t>
  </si>
  <si>
    <t>Kaltim Add-on Blok 2</t>
  </si>
  <si>
    <t>Aceh (Sumatra Island)</t>
  </si>
  <si>
    <t>Maluku (Ambon Island)</t>
  </si>
  <si>
    <t>North Kalimantan (Tarakan Island)</t>
  </si>
  <si>
    <t>Add-On Kalselteng</t>
  </si>
  <si>
    <t>Add-On Kaltara / Kaltimra</t>
  </si>
  <si>
    <t>East Nusa Tenggara (Timor Island)</t>
  </si>
  <si>
    <t>South and Central Sumatra or Sulawesi</t>
  </si>
  <si>
    <t>North Maluku (Halmahera Island)</t>
  </si>
  <si>
    <t>West Papua</t>
  </si>
  <si>
    <t>South Papua (Papua Island)</t>
  </si>
  <si>
    <t>Central Papua (Papua Island)</t>
  </si>
  <si>
    <t>G100000405915</t>
  </si>
  <si>
    <t>cancelled</t>
  </si>
  <si>
    <t>L100000405941</t>
  </si>
  <si>
    <t>G100000405927</t>
  </si>
  <si>
    <t>https://www.gem.wiki/Lampung_Peaker_power_station</t>
  </si>
  <si>
    <t>Lampung Peaker power station</t>
  </si>
  <si>
    <t>Sumatra</t>
  </si>
  <si>
    <t>L100000405290</t>
  </si>
  <si>
    <t>G100000400927</t>
  </si>
  <si>
    <t>https://www.gem.wiki/Soekarno-Hatta_Airport_power_station</t>
  </si>
  <si>
    <t>Soekarno-Hatta Airport power station</t>
  </si>
  <si>
    <t>Tangerang</t>
  </si>
  <si>
    <t>L100000405263</t>
  </si>
  <si>
    <t>G100000400917</t>
  </si>
  <si>
    <t>https://www.gem.wiki/Bantaeng_LNG_power_station</t>
  </si>
  <si>
    <t>Bantaeng LNG power station</t>
  </si>
  <si>
    <t>cancelled - inferred 4 y</t>
  </si>
  <si>
    <t>Bantaeng</t>
  </si>
  <si>
    <t>G100000406291</t>
  </si>
  <si>
    <t>G100000406290</t>
  </si>
  <si>
    <t>G100000406289</t>
  </si>
  <si>
    <t>G100000404264</t>
  </si>
  <si>
    <t>L100000405278</t>
  </si>
  <si>
    <t>G100000404253</t>
  </si>
  <si>
    <t>https://www.gem.wiki/Keramasan_Asta_power_station</t>
  </si>
  <si>
    <t>Keramasan Asta power station</t>
  </si>
  <si>
    <t>mothballed</t>
  </si>
  <si>
    <t>Keramasan</t>
  </si>
  <si>
    <t>L100000405943</t>
  </si>
  <si>
    <t>G100000405929</t>
  </si>
  <si>
    <t>https://www.gem.wiki/Luwuk_power_station</t>
  </si>
  <si>
    <t>Luwuk power station</t>
  </si>
  <si>
    <t>shelved</t>
  </si>
  <si>
    <t>Nonong</t>
  </si>
  <si>
    <t>L100000405951</t>
  </si>
  <si>
    <t>G100000405937</t>
  </si>
  <si>
    <t>https://www.gem.wiki/Sulsel_power_station</t>
  </si>
  <si>
    <t>Sulsel power station</t>
  </si>
  <si>
    <t>G100000404256</t>
  </si>
  <si>
    <t>shelved - inferred 2 y</t>
  </si>
  <si>
    <t>L100000408314</t>
  </si>
  <si>
    <t>G100000411718</t>
  </si>
  <si>
    <t>https://www.gem.wiki/Sujiawumei_LNG_power_station</t>
  </si>
  <si>
    <t>Sujiawumei LNG power station</t>
  </si>
  <si>
    <t>G100000411717</t>
  </si>
  <si>
    <t>G100000411716</t>
  </si>
  <si>
    <t>Country/Area</t>
  </si>
  <si>
    <t>Plant Name in Local Language / Script</t>
  </si>
  <si>
    <t>Other Name(s)</t>
  </si>
  <si>
    <t>Unit name</t>
  </si>
  <si>
    <t>Fuel</t>
  </si>
  <si>
    <t>Turbine/Engine Technology</t>
  </si>
  <si>
    <t>Equipment Manufacturer/Model</t>
  </si>
  <si>
    <t>CHP</t>
  </si>
  <si>
    <t>Hydrogen capable?</t>
  </si>
  <si>
    <t>CCS attachment?</t>
  </si>
  <si>
    <t>Conversion/replacement?</t>
  </si>
  <si>
    <t>Conversion from/replacement of (fuel)</t>
  </si>
  <si>
    <t>Conversion from/replacement of (GEM unit ID)</t>
  </si>
  <si>
    <t>Conversion to (fuel)</t>
  </si>
  <si>
    <t>Conversion to (GEM unit ID)</t>
  </si>
  <si>
    <t>Retired year</t>
  </si>
  <si>
    <t>Planned retire</t>
  </si>
  <si>
    <t>Operator(s)</t>
  </si>
  <si>
    <t>Owner GEM Entity ID</t>
  </si>
  <si>
    <t>Parent GEM Entity ID</t>
  </si>
  <si>
    <t>Location accuracy</t>
  </si>
  <si>
    <t>Local area (taluk, county)</t>
  </si>
  <si>
    <t>Major area (prefecture, district)</t>
  </si>
  <si>
    <t>Subregion</t>
  </si>
  <si>
    <t>Region</t>
  </si>
  <si>
    <t>Other IDs (location)</t>
  </si>
  <si>
    <t>Other IDs (unit)</t>
  </si>
  <si>
    <t>Captive non-industry use</t>
  </si>
  <si>
    <t>Indonesia</t>
  </si>
  <si>
    <t>CC1</t>
  </si>
  <si>
    <t>fossil gas: LNG</t>
  </si>
  <si>
    <t>combined cycle</t>
  </si>
  <si>
    <t>replacement</t>
  </si>
  <si>
    <t>coal: unknown, coal: unknown, coal: unknown</t>
  </si>
  <si>
    <t>G100000100142, G100000100143, G100000100144</t>
  </si>
  <si>
    <t>E100000121062 [100%]</t>
  </si>
  <si>
    <t>E100000121062 [100.0%]</t>
  </si>
  <si>
    <t>exact</t>
  </si>
  <si>
    <t>Mimika Timur Jauh</t>
  </si>
  <si>
    <t>Mimika</t>
  </si>
  <si>
    <t>South-eastern Asia</t>
  </si>
  <si>
    <t>Asia</t>
  </si>
  <si>
    <t>E100000000537 [100%]</t>
  </si>
  <si>
    <t>E100000000537 [100.0%]</t>
  </si>
  <si>
    <t>PLTMG Sumbagut 2</t>
  </si>
  <si>
    <t>fossil gas: natural gas</t>
  </si>
  <si>
    <t>E100001010523 [100%]</t>
  </si>
  <si>
    <t>E100001010523 [100.0%]</t>
  </si>
  <si>
    <t>approximate</t>
  </si>
  <si>
    <t>gas turbine</t>
  </si>
  <si>
    <t>Siemens Energy: SGT-800</t>
  </si>
  <si>
    <t>E100000002501 [100%]</t>
  </si>
  <si>
    <t>E100000000538 [100.0%]</t>
  </si>
  <si>
    <t>PT Energi Nusantara Merah Putih [100%]</t>
  </si>
  <si>
    <t>E100000001947 [100%]</t>
  </si>
  <si>
    <t>PT Energi Nusantara Merah Putih [100.0%]</t>
  </si>
  <si>
    <t>E100000001947 [100.0%]</t>
  </si>
  <si>
    <t>fossil gas: natural gas, fossil liquids: fuel oil</t>
  </si>
  <si>
    <t>E100001010521 [100%]</t>
  </si>
  <si>
    <t>E100001011137 [100.0%]</t>
  </si>
  <si>
    <t>Amman Mineral power station, 安曼矿业发电站</t>
  </si>
  <si>
    <t>coal: unknown, coal: unknown, coal: unknown, coal: unknown</t>
  </si>
  <si>
    <t>G100000100662, G100000100663, G100000100664, G100000100665</t>
  </si>
  <si>
    <t>E100001011092</t>
  </si>
  <si>
    <t>E100001011093</t>
  </si>
  <si>
    <t>Maluk</t>
  </si>
  <si>
    <t>Sumbawa Barat</t>
  </si>
  <si>
    <t>E100000003756 [100%]</t>
  </si>
  <si>
    <t>E100000000939 [100.0%]</t>
  </si>
  <si>
    <t>Limapuluh</t>
  </si>
  <si>
    <t>Batubara</t>
  </si>
  <si>
    <t>E100000003754 [100%]</t>
  </si>
  <si>
    <t>E100000120663 [100.0%]</t>
  </si>
  <si>
    <t>World Resources Institute: WRI1000870</t>
  </si>
  <si>
    <t>fossil liquids: fuel oil</t>
  </si>
  <si>
    <t>E100001010522 [100%]</t>
  </si>
  <si>
    <t>E100001010522 [100.0%]</t>
  </si>
  <si>
    <t>World Resources Institute: WRI1000817, World Resources Institute: WRI1000818</t>
  </si>
  <si>
    <t>Belawan Thermal Power Plant</t>
  </si>
  <si>
    <t>steam turbine</t>
  </si>
  <si>
    <t>fossil gas: natural gas, fossil liquids: diesel</t>
  </si>
  <si>
    <t>fossil liquids: diesel, fossil gas: LNG</t>
  </si>
  <si>
    <t>Wärtsilä: 20V34DF</t>
  </si>
  <si>
    <t>fossil gas: LNG, fossil liquids: diesel</t>
  </si>
  <si>
    <t>no</t>
  </si>
  <si>
    <t>E100000003758</t>
  </si>
  <si>
    <t>E100000000537</t>
  </si>
  <si>
    <t>Wolo</t>
  </si>
  <si>
    <t>Kolaka</t>
  </si>
  <si>
    <t>E100000001949 [100%]</t>
  </si>
  <si>
    <t>E100001010136 [100.0%]</t>
  </si>
  <si>
    <t>E100000003758 [100%]</t>
  </si>
  <si>
    <t>World Resources Institute: WRI1000874</t>
  </si>
  <si>
    <t>E100000003757 [100%]</t>
  </si>
  <si>
    <t>E100000003757 [100.0%]</t>
  </si>
  <si>
    <t>World Resources Institute: WRI1000825</t>
  </si>
  <si>
    <t>Gorontalo peaker, PLTG Gorontalo</t>
  </si>
  <si>
    <t>Paguat</t>
  </si>
  <si>
    <t>fossil gas: natural gas, bioenergy: unknown</t>
  </si>
  <si>
    <t>E100000003755 [100%]</t>
  </si>
  <si>
    <t>E100000001220 [48.8%]; E100001011088</t>
  </si>
  <si>
    <t>Perak-Grati Generation Unit</t>
  </si>
  <si>
    <t>E100000001943 [100%]</t>
  </si>
  <si>
    <t>E100000001943 [100.0%]</t>
  </si>
  <si>
    <t>E100000003764 [100%]</t>
  </si>
  <si>
    <t>World Resources Institute: WRI1000876</t>
  </si>
  <si>
    <t>CC2</t>
  </si>
  <si>
    <t>CC3</t>
  </si>
  <si>
    <t>ST1</t>
  </si>
  <si>
    <t>ST2</t>
  </si>
  <si>
    <t>ST3</t>
  </si>
  <si>
    <t>ST4</t>
  </si>
  <si>
    <t>E100000003761 [100%]</t>
  </si>
  <si>
    <t>E100000000541 [100.0%]</t>
  </si>
  <si>
    <t>Cikarang Power Station</t>
  </si>
  <si>
    <t>E100000001946 [100%]</t>
  </si>
  <si>
    <t>E100000001946 [100.0%]</t>
  </si>
  <si>
    <t>World Resources Institute: WRI1000821</t>
  </si>
  <si>
    <t>change of plans</t>
  </si>
  <si>
    <t>coal: unknown, coal: unknown</t>
  </si>
  <si>
    <t>G100000105467, G100000105466</t>
  </si>
  <si>
    <t>Kaltim Peaker 2, Kaltim Peaker</t>
  </si>
  <si>
    <t>2-0</t>
  </si>
  <si>
    <t>E100000003399 [100%]</t>
  </si>
  <si>
    <t>E100000001059</t>
  </si>
  <si>
    <t>PT Asta Keramasan Energi [100%]</t>
  </si>
  <si>
    <t>E100000003753 [100%]</t>
  </si>
  <si>
    <t>PT Leyand International Tbk [100.0%]</t>
  </si>
  <si>
    <t>E100000000536 [100.0%]</t>
  </si>
  <si>
    <t>World Resources Institute: WRI1000833</t>
  </si>
  <si>
    <t>World Resources Institute: WRI1000834</t>
  </si>
  <si>
    <t>World Resources Institute: WRI1000878</t>
  </si>
  <si>
    <t>fossil liquids: diesel</t>
  </si>
  <si>
    <t>E100001011146 [100%]</t>
  </si>
  <si>
    <t>E100001011146 [100.0%]</t>
  </si>
  <si>
    <t>World Resources Institute: WRI1000881, World Resources Institute: WRI1000879</t>
  </si>
  <si>
    <t>Muara Tawar Combined Cycle Power Plant, Muara Tawar Gas and Steam Power Plant</t>
  </si>
  <si>
    <t>GE Power: GT13E2</t>
  </si>
  <si>
    <t>World Resources Institute: WRI1000836, World Resources Institute: WRI1000883, World Resources Institute: WRI1000882, World Resources Institute: WRI1000837</t>
  </si>
  <si>
    <t>3-0</t>
  </si>
  <si>
    <t>fossil gas: waste heat from natural gas</t>
  </si>
  <si>
    <t>4-0</t>
  </si>
  <si>
    <t>yes</t>
  </si>
  <si>
    <t>World Resources Institute: WRI1000794</t>
  </si>
  <si>
    <t>E100000001945 [100%]</t>
  </si>
  <si>
    <t>E100000001945 [100.0%]</t>
  </si>
  <si>
    <t>E100001010508 [100%]</t>
  </si>
  <si>
    <t>E100000000533 [42.4%]</t>
  </si>
  <si>
    <t>E100000120312 [100%]</t>
  </si>
  <si>
    <t>E100000000533 [48.0%]</t>
  </si>
  <si>
    <t>E100001010473 [100%]</t>
  </si>
  <si>
    <t>E100001010473 [100.0%]</t>
  </si>
  <si>
    <t>fossil liquids: diesel, fossil gas: natural gas</t>
  </si>
  <si>
    <t>Denpasar</t>
  </si>
  <si>
    <t>Unit 1</t>
  </si>
  <si>
    <t>fossil gas: natural gas, coal: unknown, bioenergy: paper mill wastes</t>
  </si>
  <si>
    <t>E100002015824</t>
  </si>
  <si>
    <t>E100002016297; E100001015587</t>
  </si>
  <si>
    <t>E100000003759 [100%]</t>
  </si>
  <si>
    <t>E100000000649 [40.0%]; E100000000538 [40.0%]; E100000000656 [20.0%]</t>
  </si>
  <si>
    <t>PLTGU Tenayan, Medco Ratch Power Riau (MRPR)</t>
  </si>
  <si>
    <t>E100000003551 [51%]; E100000001636 [49%]</t>
  </si>
  <si>
    <t>E100000001636 [49.0%]; E100002008263 [26.0%]; E100000000533 [25.0%]</t>
  </si>
  <si>
    <t>E100000001362</t>
  </si>
  <si>
    <t>fossil gas: unknown</t>
  </si>
  <si>
    <t>Sengkang Wajo</t>
  </si>
  <si>
    <t>E100000001948 [100%]</t>
  </si>
  <si>
    <t>E100000001770 [95.0%]; E100000000533 [5.0%]</t>
  </si>
  <si>
    <t>World Resources Institute: WRI1000886</t>
  </si>
  <si>
    <t>E100000003760 [100%]</t>
  </si>
  <si>
    <t>E100000000900 [62.0%]; E100000132388 [17.0%]; E100000000540 [10.0%]; E100000000534 [6.0%]; E100000000539 [5.0%]</t>
  </si>
  <si>
    <t>PT Angkasa Pura Indonesia [100%]</t>
  </si>
  <si>
    <t>E100000001944 [100%]</t>
  </si>
  <si>
    <t>PT Aviasi Wisata Indonesia (Persero)</t>
  </si>
  <si>
    <t>E100002000908</t>
  </si>
  <si>
    <t>Royal Maha Indonesia</t>
  </si>
  <si>
    <t>E100002017009</t>
  </si>
  <si>
    <t>Pembangkit Listrik Tenaga Gas dan Uap Sumbagut</t>
  </si>
  <si>
    <t>PLTGU Sumbagut wellhead</t>
  </si>
  <si>
    <t>Sumbawa</t>
  </si>
  <si>
    <t>Jawa-Bali 1, Semarang Generation Unit, Semarang GBU</t>
  </si>
  <si>
    <t>World Resources Institute: WRI1000887</t>
  </si>
  <si>
    <t>GE Power: 9HA.02</t>
  </si>
  <si>
    <t>Jawa-2, Priok</t>
  </si>
  <si>
    <t>World Resources Institute: WRI1000885</t>
  </si>
  <si>
    <t>E100000003763 [100%]</t>
  </si>
  <si>
    <t>E100001010549 [100%]</t>
  </si>
  <si>
    <t>E100001010549 [100.0%]</t>
  </si>
  <si>
    <t>NO</t>
  </si>
  <si>
    <t>NAMA PEMBANGKIT</t>
  </si>
  <si>
    <t>LOKASI</t>
  </si>
  <si>
    <t>KAPASITAS (MW)</t>
  </si>
  <si>
    <t>COD</t>
  </si>
  <si>
    <t>Main sheet</t>
  </si>
  <si>
    <t>Note</t>
  </si>
  <si>
    <t>Color meaning</t>
  </si>
  <si>
    <t>PLTG GILIMANUK #1</t>
  </si>
  <si>
    <t>BALI</t>
  </si>
  <si>
    <t>Already in the main sheet</t>
  </si>
  <si>
    <t>PLTG PEMARON #1</t>
  </si>
  <si>
    <t>Not in the main sheet but already input in main sheet</t>
  </si>
  <si>
    <t>PLTG PEMARON #2</t>
  </si>
  <si>
    <t>Ambiguous and still not listed in main sheet</t>
  </si>
  <si>
    <t>PLTG PESANGGARAN #5 Ex PLTGU Grati #1</t>
  </si>
  <si>
    <t>PLTG PESANGGARAN #6 EX PLTGU Grati #3</t>
  </si>
  <si>
    <t>BANTEN</t>
  </si>
  <si>
    <t>PLTG MALEO #1</t>
  </si>
  <si>
    <t>GORONTALO</t>
  </si>
  <si>
    <t>Gorontalo power station 100 MW in main sheet</t>
  </si>
  <si>
    <t>PLTG MALEO #2</t>
  </si>
  <si>
    <t>PLTG MALEO #3</t>
  </si>
  <si>
    <t>PLTG MALEO #4</t>
  </si>
  <si>
    <t>PLTG BATANG HARI #1</t>
  </si>
  <si>
    <t>JAMBI</t>
  </si>
  <si>
    <t>Relocated to 41</t>
  </si>
  <si>
    <t>PLTG BATANG HARI #2</t>
  </si>
  <si>
    <t>PLTG BOT PAYO #1 EX PT ERAMAS PERSADA ENERGY</t>
  </si>
  <si>
    <t>Payo Selincah power station 50 MW in main sheet</t>
  </si>
  <si>
    <t>PLTG PAYO SELINCAH #2 EX PLTG BOT PAYO SELINCAH #2</t>
  </si>
  <si>
    <t>JAWA TENGAH</t>
  </si>
  <si>
    <t>KALIMANTAN BARAT</t>
  </si>
  <si>
    <t>PLTMG ARUN</t>
  </si>
  <si>
    <t>ACEH</t>
  </si>
  <si>
    <t>capacity?</t>
  </si>
  <si>
    <t>KALIMANTAN SELATAN</t>
  </si>
  <si>
    <t>ALSTOM</t>
  </si>
  <si>
    <t>KALIMANTAN TIMUR</t>
  </si>
  <si>
    <t>Most likely Kaltim power station in main sheet</t>
  </si>
  <si>
    <t>PLTG PEAKING #1 (GE 1)</t>
  </si>
  <si>
    <t>PLTG PEAKING #2 (GE 2)</t>
  </si>
  <si>
    <t>KALIMANTAN UTARA</t>
  </si>
  <si>
    <t>BANGKA BELITUNG</t>
  </si>
  <si>
    <t>PANARAN 1</t>
  </si>
  <si>
    <t>KEP. RIAU</t>
  </si>
  <si>
    <t>Panaran power station in main sheet</t>
  </si>
  <si>
    <t>PANARAN 2</t>
  </si>
  <si>
    <t>LAMPUNG</t>
  </si>
  <si>
    <t xml:space="preserve">PLTG TARAHAN #1 </t>
  </si>
  <si>
    <t>MALUKU UTARA</t>
  </si>
  <si>
    <t xml:space="preserve">relocated result from Jakabaring and Batang Hari? </t>
  </si>
  <si>
    <t>NTB</t>
  </si>
  <si>
    <t>SULAWESI TENGAH</t>
  </si>
  <si>
    <t>SUMATERA BARAT</t>
  </si>
  <si>
    <t>SULAWESI SELATAN</t>
  </si>
  <si>
    <t>LANGGAM POWER</t>
  </si>
  <si>
    <t>RIAU</t>
  </si>
  <si>
    <t>0 capacity?</t>
  </si>
  <si>
    <t>GGCP</t>
  </si>
  <si>
    <t>JAWA TIMUR</t>
  </si>
  <si>
    <t>JAWA BARAT</t>
  </si>
  <si>
    <t>PLTG MUARA TAWAR #7 (GT 3.1)</t>
  </si>
  <si>
    <t>PLTG MUARA TAWAR #8 (GT 3.2)</t>
  </si>
  <si>
    <t>PLTG MUARA TAWAR #9 (GT 3.3)</t>
  </si>
  <si>
    <t>PLTG MUARA TAWAR #10 (GT 4.1)</t>
  </si>
  <si>
    <t>PLTG MUARA TAWAR #11 (GT 4.2)</t>
  </si>
  <si>
    <t>PLTG MUARA TAWAR #12 (GT 4.3)</t>
  </si>
  <si>
    <t xml:space="preserve">WIL. PABRIK PT PINDO DELI PULP MILLS </t>
  </si>
  <si>
    <t>Most likely Pindo-Deli-Ii power station in main sheet</t>
  </si>
  <si>
    <t>SUMATERA SELATAN</t>
  </si>
  <si>
    <t>PLTG INDRALAYA #01</t>
  </si>
  <si>
    <t xml:space="preserve">PLTG IPP PRABUMULIH </t>
  </si>
  <si>
    <t>PLTG JAKABARING #01</t>
  </si>
  <si>
    <t>relocated to 41</t>
  </si>
  <si>
    <t>PLTG JAKABARING #02</t>
  </si>
  <si>
    <t>PLTG JAKABARING #03</t>
  </si>
  <si>
    <t>PLTG KERAMASAN #01</t>
  </si>
  <si>
    <t>Most likely Keramasan PLN power station in main sheet</t>
  </si>
  <si>
    <t>PLTG KERAMASAN #02</t>
  </si>
  <si>
    <t>PLTG KERAMASAN #03</t>
  </si>
  <si>
    <t>PLTG BELAWAN #1</t>
  </si>
  <si>
    <t>SUMATERA UTARA</t>
  </si>
  <si>
    <t xml:space="preserve">PLTG IPP MPP NIAS </t>
  </si>
  <si>
    <t>PLTGU PT KKA</t>
  </si>
  <si>
    <t>PLTGU CILEGON #1</t>
  </si>
  <si>
    <t>Most likely Cilegon power station (740 MW) in main sheet</t>
  </si>
  <si>
    <t>PLTGU CILEGON #2</t>
  </si>
  <si>
    <t>PLTGU CILEGON #3</t>
  </si>
  <si>
    <t>PLTGU PT AMMAN MINERAL NUSA TENGGARA</t>
  </si>
  <si>
    <t>Most likely Batu Hijau power station (450 MW) in main sheet</t>
  </si>
  <si>
    <t>PLTGU IPP RIAU (PT MRPR)</t>
  </si>
  <si>
    <t>Most likely Riau (MRPR) power station (296.2 MW) in main sheet</t>
  </si>
  <si>
    <t>PLTGU SW RIAU#1 (PT RIAU POWER)</t>
  </si>
  <si>
    <t>PLTGU SW RIAU#2 (PT RIAU POWER)</t>
  </si>
  <si>
    <t>PLTGU IPP SENIPAH (PT KUTAI KARTANEGARA ENERGY)</t>
  </si>
  <si>
    <t>PLTGU TANJUNG BATU #1</t>
  </si>
  <si>
    <t>PLTGU TANJUNG BATU #2</t>
  </si>
  <si>
    <t>PLTGU TANJUNG BATU #3</t>
  </si>
  <si>
    <t>PLTGU PANARAN 1</t>
  </si>
  <si>
    <t>PLTGU PANARAN 2</t>
  </si>
  <si>
    <t>PLTMG WE 9- PT BATAMINDO INVESTMENT CAKRAWALA</t>
  </si>
  <si>
    <t>PLTGU TJ. UNCANG</t>
  </si>
  <si>
    <t>PLTGU SENGKANG #1</t>
  </si>
  <si>
    <t>PLTGU SENGKANG #2</t>
  </si>
  <si>
    <t>PLTGU SENGKANG #3</t>
  </si>
  <si>
    <t>PLTGU SENGKANG #4</t>
  </si>
  <si>
    <t>PLTGU SENGKANG #5</t>
  </si>
  <si>
    <t>PLTGU SENGKANG #6</t>
  </si>
  <si>
    <t>PLTGU BELAWAN #1</t>
  </si>
  <si>
    <t>PLTGU BELAWAN #2</t>
  </si>
  <si>
    <t>PLTGU BELAWAN #3</t>
  </si>
  <si>
    <t>PLTGU BELAWAN #4</t>
  </si>
  <si>
    <t>PLTGU BELAWAN #5</t>
  </si>
  <si>
    <t>PLTGU BELAWAN #6</t>
  </si>
  <si>
    <t>PLTGU INDRALAYA #1</t>
  </si>
  <si>
    <t>PLTGU INDRALAYA #2</t>
  </si>
  <si>
    <t>PLTGU IPP BORANG (PT AGP) EX PLTGU IPP BORANG #1</t>
  </si>
  <si>
    <t>Most likely Borang power station (100 MW) in main sheet</t>
  </si>
  <si>
    <t>PLTGU IPP GUNUNG MEGANG #1 (PT MEPPO-GEN)</t>
  </si>
  <si>
    <t>PLTGU IPP GUNUNG MEGANG #2 (PT MEPPO-GEN)</t>
  </si>
  <si>
    <t>PLTGU IPP GUNUNG MEGANG #3 (PT MEPPO-GEN)</t>
  </si>
  <si>
    <t>PLTGU KERAMASAN #1</t>
  </si>
  <si>
    <t>PLTGU KERAMASAN #2</t>
  </si>
  <si>
    <t>PLTU KERAMASAN #1</t>
  </si>
  <si>
    <t>PLTU?</t>
  </si>
  <si>
    <t>PLTU KERAMASAN #2</t>
  </si>
  <si>
    <t>JAWA-BALI 1 (PLTGU TAMBAK LOROK)</t>
  </si>
  <si>
    <t>PLTGU TAMBANK LOROK #1</t>
  </si>
  <si>
    <t>PLTGU TAMBANK LOROK #2</t>
  </si>
  <si>
    <t>PLTGU TAMBANK LOROK #3</t>
  </si>
  <si>
    <t>PLTGU TAMBANK LOROK #4</t>
  </si>
  <si>
    <t>PLTGU TAMBANK LOROK #5</t>
  </si>
  <si>
    <t>PLTGU TAMBANK LOROK #6</t>
  </si>
  <si>
    <t>PLTGU TAMBANK LOROK #7</t>
  </si>
  <si>
    <t>PLTGU TAMBANK LOROK #8</t>
  </si>
  <si>
    <t>PLTU TAMBANK LOROK #3</t>
  </si>
  <si>
    <t>PLTGU GRATI #2</t>
  </si>
  <si>
    <t>PLTGU GRATI #4</t>
  </si>
  <si>
    <t>PLTGU GRATI #5</t>
  </si>
  <si>
    <t>PLTGU GRATI #6</t>
  </si>
  <si>
    <t>PLTGU GRATI #7</t>
  </si>
  <si>
    <t>PLTGU GRATI #8</t>
  </si>
  <si>
    <t>PLTGU GRATI #9</t>
  </si>
  <si>
    <t>PLTGU GRATI #10</t>
  </si>
  <si>
    <t>PLTGU GRATI #11</t>
  </si>
  <si>
    <t>PLTGU GRESIK #1</t>
  </si>
  <si>
    <t>PLTGU GRESIK #2</t>
  </si>
  <si>
    <t>PLTGU GRESIK #3</t>
  </si>
  <si>
    <t>PLTGU GRESIK #4</t>
  </si>
  <si>
    <t>PLTGU GRESIK #5</t>
  </si>
  <si>
    <t>PLTGU GRESIK #6</t>
  </si>
  <si>
    <t>PLTGU GRESIK #7</t>
  </si>
  <si>
    <t>PLTGU GRESIK #8</t>
  </si>
  <si>
    <t>PLTGU GRESIK #9</t>
  </si>
  <si>
    <t>PLTGU GRESIK #10</t>
  </si>
  <si>
    <t>PLTGU GRESIK #11</t>
  </si>
  <si>
    <t>PLTGU GRESIK #12</t>
  </si>
  <si>
    <t>BEKASI POWER JABABEKA-CIBATU 1-2</t>
  </si>
  <si>
    <t>JABABEKA</t>
  </si>
  <si>
    <t>JAWA-1 (POWER BLOK 11)</t>
  </si>
  <si>
    <t>JAWA-1 (POWER BLOK 21)</t>
  </si>
  <si>
    <t>MUARA TAWAR ADD ON BLOK 3</t>
  </si>
  <si>
    <t>MUARA TAWAR BLOK 4</t>
  </si>
  <si>
    <t>PLTGU IPP JAWA 1 CIMALAYA #1 (PT JAWA SATU POWER)</t>
  </si>
  <si>
    <t>0 ?</t>
  </si>
  <si>
    <t>PLTGU IPP JAWA 1 CIMALAYA #2 (PT JAWA SATU POWER)</t>
  </si>
  <si>
    <t>PLTGU MUARA TAWAR #1</t>
  </si>
  <si>
    <t>PLTGU MUARA TAWAR #2</t>
  </si>
  <si>
    <t>PLTGU MUARA TAWAR #3</t>
  </si>
  <si>
    <t>PLTGU MUARA TAWAR #4</t>
  </si>
  <si>
    <t>PLTGU MUARA TAWAR #5</t>
  </si>
  <si>
    <t>PLTGU MUARA TAWAR #6</t>
  </si>
  <si>
    <t>PLTGU MUARA TAWAR #13</t>
  </si>
  <si>
    <t>PLTGU MUARA TAWAR #14</t>
  </si>
  <si>
    <t>PLTGU MUARA TAWAR #15</t>
  </si>
  <si>
    <t>PLTGU MUARA KARANG #1</t>
  </si>
  <si>
    <t>DKI JAKARTA</t>
  </si>
  <si>
    <t>PLTGU MUARA KARANG #2</t>
  </si>
  <si>
    <t>PLTGU MUARA KARANG #3</t>
  </si>
  <si>
    <t>PLTGU MUARA KARANG #4</t>
  </si>
  <si>
    <t>PLTGU MUARA KARANG #10</t>
  </si>
  <si>
    <t>PLTGU MUARA KARANG #11</t>
  </si>
  <si>
    <t>PLTGU MUARA KARANG #12</t>
  </si>
  <si>
    <t>PLTGU MUARA KARANG #13</t>
  </si>
  <si>
    <t>PLTGU MUARA KARANG #14</t>
  </si>
  <si>
    <t>PLTGU MUARA KARANG #15</t>
  </si>
  <si>
    <t>PLTGU MUARA KARANG #16</t>
  </si>
  <si>
    <t>PLTGU PRIOK #1</t>
  </si>
  <si>
    <t>PLTGU PRIOK #2</t>
  </si>
  <si>
    <t>PLTGU PRIOK #3</t>
  </si>
  <si>
    <t>PLTGU PRIOK #4</t>
  </si>
  <si>
    <t>PLTGU PRIOK #5</t>
  </si>
  <si>
    <t>PLTGU PRIOK #6</t>
  </si>
  <si>
    <t>PLTGU PRIOK #7</t>
  </si>
  <si>
    <t>PLTGU PRIOK #8</t>
  </si>
  <si>
    <t>PLTGU PRIOK #9</t>
  </si>
  <si>
    <t>PLTGU PRIOK #10</t>
  </si>
  <si>
    <t>PLTGU PRIOK #11</t>
  </si>
  <si>
    <t>PLTGU PRIOK #12</t>
  </si>
  <si>
    <t>PLTGU PRIOK #13</t>
  </si>
  <si>
    <t>PLTGU PRIOK #14</t>
  </si>
  <si>
    <t>PLTU MUARA KARANG #4</t>
  </si>
  <si>
    <t>PLTU MUARA KARANG #5</t>
  </si>
  <si>
    <t>TOTAL</t>
  </si>
  <si>
    <t>Sumber: PPID ESDM (2025)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</si>
</sst>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</font>
    <font>
      <u/>
      <color rgb="FF0000FF"/>
    </font>
    <font>
      <i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</font>
    <font>
      <b/>
      <sz val="12.0"/>
      <color rgb="FF434343"/>
      <name val="Arial"/>
    </font>
    <font/>
    <font>
      <b/>
      <u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2" fontId="2" numFmtId="0" xfId="0" applyAlignment="1" applyFill="1" applyFont="1">
      <alignment horizontal="center" readingOrder="0" shrinkToFit="0" vertical="bottom" wrapText="1"/>
    </xf>
    <xf borderId="0" fillId="3" fontId="2" numFmtId="0" xfId="0" applyAlignment="1" applyFill="1" applyFont="1">
      <alignment horizontal="center" shrinkToFit="0" vertical="bottom" wrapText="1"/>
    </xf>
    <xf borderId="0" fillId="4" fontId="2" numFmtId="0" xfId="0" applyAlignment="1" applyFill="1" applyFont="1">
      <alignment horizontal="center" readingOrder="0" shrinkToFit="0" vertical="bottom" wrapText="1"/>
    </xf>
    <xf borderId="0" fillId="4" fontId="2" numFmtId="0" xfId="0" applyAlignment="1" applyFont="1">
      <alignment horizontal="center" shrinkToFit="0" vertical="bottom" wrapText="1"/>
    </xf>
    <xf borderId="0" fillId="4" fontId="2" numFmtId="0" xfId="0" applyAlignment="1" applyFont="1">
      <alignment shrinkToFit="0" vertical="bottom" wrapText="1"/>
    </xf>
    <xf borderId="0" fillId="5" fontId="2" numFmtId="0" xfId="0" applyAlignment="1" applyFill="1" applyFont="1">
      <alignment horizontal="center" shrinkToFit="0" vertical="bottom" wrapText="1"/>
    </xf>
    <xf borderId="0" fillId="6" fontId="2" numFmtId="0" xfId="0" applyAlignment="1" applyFill="1" applyFont="1">
      <alignment horizontal="center" readingOrder="0" shrinkToFit="0" vertical="bottom" wrapText="1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vertical="bottom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7" fontId="3" numFmtId="0" xfId="0" applyAlignment="1" applyFill="1" applyFont="1">
      <alignment readingOrder="0"/>
    </xf>
    <xf borderId="0" fillId="8" fontId="4" numFmtId="0" xfId="0" applyAlignment="1" applyFill="1" applyFont="1">
      <alignment horizontal="right"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vertical="bottom"/>
    </xf>
    <xf borderId="0" fillId="8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11" numFmtId="0" xfId="0" applyAlignment="1" applyFont="1">
      <alignment horizontal="right" vertical="bottom"/>
    </xf>
    <xf borderId="0" fillId="0" fontId="1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9" fontId="3" numFmtId="0" xfId="0" applyAlignment="1" applyFill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10" fontId="3" numFmtId="0" xfId="0" applyAlignment="1" applyFill="1" applyFont="1">
      <alignment readingOrder="0"/>
    </xf>
    <xf borderId="0" fillId="10" fontId="4" numFmtId="0" xfId="0" applyAlignment="1" applyFont="1">
      <alignment horizontal="right" vertical="bottom"/>
    </xf>
    <xf borderId="0" fillId="10" fontId="4" numFmtId="0" xfId="0" applyAlignment="1" applyFont="1">
      <alignment vertical="bottom"/>
    </xf>
    <xf borderId="0" fillId="10" fontId="3" numFmtId="0" xfId="0" applyFont="1"/>
    <xf borderId="0" fillId="0" fontId="3" numFmtId="164" xfId="0" applyAlignment="1" applyFont="1" applyNumberFormat="1">
      <alignment readingOrder="0"/>
    </xf>
    <xf borderId="0" fillId="0" fontId="14" numFmtId="0" xfId="0" applyAlignment="1" applyFont="1">
      <alignment horizontal="center" shrinkToFit="0" vertical="bottom" wrapText="1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3" fillId="0" fontId="15" numFmtId="0" xfId="0" applyBorder="1" applyFont="1"/>
    <xf borderId="1" fillId="2" fontId="4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11" fontId="4" numFmtId="0" xfId="0" applyAlignment="1" applyFill="1" applyFont="1">
      <alignment readingOrder="0" vertical="bottom"/>
    </xf>
    <xf borderId="1" fillId="2" fontId="4" numFmtId="0" xfId="0" applyAlignment="1" applyBorder="1" applyFont="1">
      <alignment readingOrder="0" vertical="bottom"/>
    </xf>
    <xf borderId="4" fillId="0" fontId="15" numFmtId="0" xfId="0" applyBorder="1" applyFont="1"/>
    <xf borderId="1" fillId="11" fontId="4" numFmtId="0" xfId="0" applyAlignment="1" applyBorder="1" applyFont="1">
      <alignment readingOrder="0" vertical="bottom"/>
    </xf>
    <xf borderId="1" fillId="11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1" fillId="0" fontId="4" numFmtId="4" xfId="0" applyAlignment="1" applyBorder="1" applyFont="1" applyNumberFormat="1">
      <alignment vertical="bottom"/>
    </xf>
    <xf borderId="5" fillId="0" fontId="4" numFmtId="0" xfId="0" applyAlignment="1" applyBorder="1" applyFont="1">
      <alignment horizontal="center" shrinkToFit="0" vertical="bottom" wrapText="1"/>
    </xf>
    <xf borderId="6" fillId="0" fontId="15" numFmtId="0" xfId="0" applyBorder="1" applyFont="1"/>
    <xf borderId="7" fillId="0" fontId="15" numFmtId="0" xfId="0" applyBorder="1" applyFont="1"/>
    <xf borderId="5" fillId="0" fontId="4" numFmtId="4" xfId="0" applyAlignment="1" applyBorder="1" applyFont="1" applyNumberFormat="1">
      <alignment horizontal="left" shrinkToFit="0" vertical="bottom" wrapText="1"/>
    </xf>
    <xf borderId="0" fillId="0" fontId="4" numFmtId="0" xfId="0" applyAlignment="1" applyFont="1">
      <alignment vertical="center"/>
    </xf>
    <xf borderId="0" fillId="0" fontId="16" numFmtId="0" xfId="0" applyAlignment="1" applyFont="1">
      <alignment horizontal="center" vertical="bottom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therine Hasan" id="{26cd54b9-c210-4cd8-9d40-21f893a444c7}" providerId="google-sheets"/>
  <x18tc:person displayName="Abdul Baits Swastika" id="{2c01d6a7-ee92-4435-ae52-ee926f555106}" providerId="google-sheets"/>
  <x18tc:person displayName="baits@energyandcleanair.org" id="{89ffb2df-448d-4f4b-bf74-139153e8ca4a}" userId="baits@energyandcleanair.org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1" dT="2025-09-24T04:41:33.00" personId="{26cd54b9-c210-4cd8-9d40-21f893a444c7}" id="{3da516e2-3b62-477f-9501-581b9b4276e5}" done="0">
    <x18tc:text xml:space="preserve">https://docs.google.com/document/d/1O65NZG-Qa7mO1lN_KW-oPvZgdG8VV-3gk59-ueGLLuY/edit?tab=t.0</x18tc:text>
    <x18tc:extLst>
      <ext uri="{F7C98A9C-CBB3-438F-8F68-D28B6AF4A901}">
        <xltc2:checksum/>
        <xltc2:hyperlink startIndex="0" length="92" url="https://docs.google.com/document/d/1O65NZG-Qa7mO1lN_KW-oPvZgdG8VV-3gk59-ueGLLuY/edit?tab=t.0"/>
      </ext>
    </x18tc:extLst>
  </x18tc:threadedComment>
  <x18tc:threadedComment ref="D59" dT="2025-11-09T02:53:17.00" personId="{2c01d6a7-ee92-4435-ae52-ee926f555106}" id="{57e69b68-0cd1-412e-bd8d-920477e031e6}" done="0">
    <x18tc:text xml:space="preserve">2x50 in GOGPT
another unit's GEM data: L100000102830	G100001063997</x18tc:text>
  </x18tc:threadedComment>
  <x18tc:threadedComment ref="F40" dT="2025-11-09T04:19:10.00" personId="{2c01d6a7-ee92-4435-ae52-ee926f555106}" id="{94519dc5-ccde-4b93-bc0b-8f4c2662303f}" done="0">
    <x18tc:text xml:space="preserve">pre-construction in GOGPT</x18tc:text>
  </x18tc:threadedComment>
  <x18tc:threadedComment ref="D55" dT="2025-11-09T02:49:01.00" personId="{2c01d6a7-ee92-4435-ae52-ee926f555106}" id="{06d2fe3d-dc65-4f11-a6b9-892972a9d373}" done="0">
    <x18tc:text xml:space="preserve">2 unit s in newest GOGPT
another GEM data for unit 2: L100000102829	G100001063994</x18tc:text>
  </x18tc:threadedComment>
  <x18tc:threadedComment ref="F294" dT="2025-11-07T17:48:05.00" personId="{2c01d6a7-ee92-4435-ae52-ee926f555106}" id="{a53f3869-d6f2-42a4-b5fb-2beb23205909}" done="0">
    <x18tc:text xml:space="preserve">construction in the newest dataset of GOGPT</x18tc:text>
  </x18tc:threadedComment>
  <x18tc:threadedComment ref="F56" dT="2025-11-09T04:19:05.00" personId="{2c01d6a7-ee92-4435-ae52-ee926f555106}" id="{0a276477-430a-48af-b993-55755198c15b}" done="0">
    <x18tc:text xml:space="preserve">pre-construction in GOGPT</x18tc:text>
  </x18tc:threadedComment>
  <x18tc:threadedComment ref="N76" dT="2025-11-09T02:43:30.00" personId="{2c01d6a7-ee92-4435-ae52-ee926f555106}" id="{49ebbd51-b0d5-4973-b31c-e3df7b68d92c}" done="0">
    <x18tc:text xml:space="preserve">Pomalaa, in newest GOGPT from GEM</x18tc:text>
  </x18tc:threadedComment>
  <x18tc:threadedComment ref="A1" dT="2025-11-20T03:58:39.00" personId="{26cd54b9-c210-4cd8-9d40-21f893a444c7}" id="{7822a60c-71de-4d49-86ad-d03bf3eec035}" done="0">
    <x18tc:text xml:space="preserve">@baits@energyandcleanair.org Sudah sesuai kah? Hanya yg tidak ada di GOGPT/TrendAsia?</x18tc:text>
    <x18tc:mentions>
      <x18tc:mention mentionpersonId="{89ffb2df-448d-4f4b-bf74-139153e8ca4a}" mentionId="{d4331e0a-2950-4856-86c9-556079e9e5f9}" startIndex="0" length="28"/>
    </x18tc:mentions>
  </x18tc:threadedComment>
  <x18tc:threadedComment ref="AM1" dT="2025-11-12T04:57:17.00" personId="{26cd54b9-c210-4cd8-9d40-21f893a444c7}" id="{8fc75461-f590-4db4-b93c-c9b349e53d56}" done="1">
    <x18tc:text xml:space="preserve">@baits@energyandcleanair.org mark x for entries found in listed dataset</x18tc:text>
    <x18tc:mentions>
      <x18tc:mention mentionpersonId="{89ffb2df-448d-4f4b-bf74-139153e8ca4a}" mentionId="{93921f2b-03a4-4d17-83d8-0541a8d3f794}" startIndex="0" length="28"/>
    </x18tc:mentions>
  </x18tc:threadedComment>
  <x18tc:threadedComment ref="D75" dT="2025-11-07T08:06:48.00" personId="{2c01d6a7-ee92-4435-ae52-ee926f555106}" id="{b360a8f3-7963-481c-90bb-eca23542ae31}" done="0">
    <x18tc:text xml:space="preserve">Bali Power Station in GEM</x18tc:text>
  </x18tc:threadedComment>
  <x18tc:threadedComment ref="E65" dT="2025-11-09T03:30:10.00" personId="{2c01d6a7-ee92-4435-ae52-ee926f555106}" id="{60dab47d-fef3-4b43-ac92-72b79a14069e}" done="0">
    <x18tc:text xml:space="preserve">2x50 in newest GOGPT
another unit location and GEM ID data: L100000104579	G100001064000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em.wiki/Bali_Power_Station" TargetMode="External"/><Relationship Id="rId190" Type="http://schemas.openxmlformats.org/officeDocument/2006/relationships/hyperlink" Target="https://www.gem.wiki/Karpowership_(Indonesia)_Onur_Sultan_power_station" TargetMode="External"/><Relationship Id="rId42" Type="http://schemas.openxmlformats.org/officeDocument/2006/relationships/hyperlink" Target="https://www.gem.wiki/MPP_Indonesia_1" TargetMode="External"/><Relationship Id="rId41" Type="http://schemas.openxmlformats.org/officeDocument/2006/relationships/hyperlink" Target="https://www.gem.wiki/Kluster_Poci_power_station" TargetMode="External"/><Relationship Id="rId44" Type="http://schemas.openxmlformats.org/officeDocument/2006/relationships/hyperlink" Target="https://www.gem.wiki/MPP_Indonesia_3" TargetMode="External"/><Relationship Id="rId194" Type="http://schemas.openxmlformats.org/officeDocument/2006/relationships/hyperlink" Target="https://www.gem.wiki/Tambak_Lorok_power_station" TargetMode="External"/><Relationship Id="rId43" Type="http://schemas.openxmlformats.org/officeDocument/2006/relationships/hyperlink" Target="https://www.gem.wiki/MPP_Indonesia_2" TargetMode="External"/><Relationship Id="rId193" Type="http://schemas.openxmlformats.org/officeDocument/2006/relationships/hyperlink" Target="https://www.gem.wiki/Muara_Karang_power_station" TargetMode="External"/><Relationship Id="rId46" Type="http://schemas.openxmlformats.org/officeDocument/2006/relationships/hyperlink" Target="https://www.gem.wiki/Kaltim-1_power_station" TargetMode="External"/><Relationship Id="rId192" Type="http://schemas.openxmlformats.org/officeDocument/2006/relationships/hyperlink" Target="https://www.gem.wiki/Muara_Karang_power_station" TargetMode="External"/><Relationship Id="rId45" Type="http://schemas.openxmlformats.org/officeDocument/2006/relationships/hyperlink" Target="https://www.gem.wiki/Kalbar-1_gas_power_station" TargetMode="External"/><Relationship Id="rId191" Type="http://schemas.openxmlformats.org/officeDocument/2006/relationships/hyperlink" Target="https://www.gem.wiki/Gresik_AKR_Estate_power_station" TargetMode="External"/><Relationship Id="rId48" Type="http://schemas.openxmlformats.org/officeDocument/2006/relationships/hyperlink" Target="https://www.gem.wiki/Bali_rental_power_station" TargetMode="External"/><Relationship Id="rId187" Type="http://schemas.openxmlformats.org/officeDocument/2006/relationships/hyperlink" Target="https://www.gem.wiki/Grati_power_station" TargetMode="External"/><Relationship Id="rId47" Type="http://schemas.openxmlformats.org/officeDocument/2006/relationships/hyperlink" Target="https://www.gem.wiki/Madura_PTBA_power_station" TargetMode="External"/><Relationship Id="rId186" Type="http://schemas.openxmlformats.org/officeDocument/2006/relationships/hyperlink" Target="https://www.gem.wiki/Belawan_power_station" TargetMode="External"/><Relationship Id="rId185" Type="http://schemas.openxmlformats.org/officeDocument/2006/relationships/hyperlink" Target="https://www.gem.wiki/Belawan_power_station" TargetMode="External"/><Relationship Id="rId49" Type="http://schemas.openxmlformats.org/officeDocument/2006/relationships/hyperlink" Target="https://www.gem.wiki/Sulbagsel-2_power_station" TargetMode="External"/><Relationship Id="rId184" Type="http://schemas.openxmlformats.org/officeDocument/2006/relationships/hyperlink" Target="https://www.gem.wiki/Muara_Tawar_power_station" TargetMode="External"/><Relationship Id="rId189" Type="http://schemas.openxmlformats.org/officeDocument/2006/relationships/hyperlink" Target="https://www.gem.wiki/Grati_power_station" TargetMode="External"/><Relationship Id="rId188" Type="http://schemas.openxmlformats.org/officeDocument/2006/relationships/hyperlink" Target="https://www.gem.wiki/Grati_power_station" TargetMode="External"/><Relationship Id="rId31" Type="http://schemas.openxmlformats.org/officeDocument/2006/relationships/hyperlink" Target="https://www.gem.wiki/Kalbar_sewa_power_station" TargetMode="External"/><Relationship Id="rId30" Type="http://schemas.openxmlformats.org/officeDocument/2006/relationships/hyperlink" Target="https://www.gem.wiki/Lombok_4_power_station" TargetMode="External"/><Relationship Id="rId33" Type="http://schemas.openxmlformats.org/officeDocument/2006/relationships/hyperlink" Target="https://www.gem.wiki/Sumbagsel_power_station" TargetMode="External"/><Relationship Id="rId183" Type="http://schemas.openxmlformats.org/officeDocument/2006/relationships/hyperlink" Target="https://www.gem.wiki/Muara_Tawar_power_station" TargetMode="External"/><Relationship Id="rId32" Type="http://schemas.openxmlformats.org/officeDocument/2006/relationships/hyperlink" Target="https://www.gem.wiki/MPP_Sulselbar_power_station" TargetMode="External"/><Relationship Id="rId182" Type="http://schemas.openxmlformats.org/officeDocument/2006/relationships/hyperlink" Target="https://www.gem.wiki/Muara_Tawar_power_station" TargetMode="External"/><Relationship Id="rId35" Type="http://schemas.openxmlformats.org/officeDocument/2006/relationships/hyperlink" Target="https://www.gem.wiki/Kalimantan_sewa_power_station" TargetMode="External"/><Relationship Id="rId181" Type="http://schemas.openxmlformats.org/officeDocument/2006/relationships/hyperlink" Target="https://www.gem.wiki/Rokan_Block_power_station" TargetMode="External"/><Relationship Id="rId34" Type="http://schemas.openxmlformats.org/officeDocument/2006/relationships/hyperlink" Target="https://www.gem.wiki/Kalimantan_1_power_station" TargetMode="External"/><Relationship Id="rId180" Type="http://schemas.openxmlformats.org/officeDocument/2006/relationships/hyperlink" Target="https://www.gem.wiki/Riau_(MRPR)_power_station" TargetMode="External"/><Relationship Id="rId37" Type="http://schemas.openxmlformats.org/officeDocument/2006/relationships/hyperlink" Target="https://www.gem.wiki/MPP_Indonesia_1" TargetMode="External"/><Relationship Id="rId176" Type="http://schemas.openxmlformats.org/officeDocument/2006/relationships/hyperlink" Target="https://www.gem.wiki/Muara_Karang_power_station" TargetMode="External"/><Relationship Id="rId36" Type="http://schemas.openxmlformats.org/officeDocument/2006/relationships/hyperlink" Target="https://www.gem.wiki/Sulbagsel_power_station" TargetMode="External"/><Relationship Id="rId175" Type="http://schemas.openxmlformats.org/officeDocument/2006/relationships/hyperlink" Target="https://www.gem.wiki/Muara_Karang_power_station" TargetMode="External"/><Relationship Id="rId39" Type="http://schemas.openxmlformats.org/officeDocument/2006/relationships/hyperlink" Target="https://www.gem.wiki/MPP_Indonesia_3" TargetMode="External"/><Relationship Id="rId174" Type="http://schemas.openxmlformats.org/officeDocument/2006/relationships/hyperlink" Target="https://www.gem.wiki/Makassar_power_station" TargetMode="External"/><Relationship Id="rId38" Type="http://schemas.openxmlformats.org/officeDocument/2006/relationships/hyperlink" Target="https://www.gem.wiki/MPP_Indonesia_2" TargetMode="External"/><Relationship Id="rId173" Type="http://schemas.openxmlformats.org/officeDocument/2006/relationships/hyperlink" Target="https://www.gem.wiki/Gresik_power_station" TargetMode="External"/><Relationship Id="rId179" Type="http://schemas.openxmlformats.org/officeDocument/2006/relationships/hyperlink" Target="https://www.gem.wiki/Muara_Tawar_power_station" TargetMode="External"/><Relationship Id="rId178" Type="http://schemas.openxmlformats.org/officeDocument/2006/relationships/hyperlink" Target="https://www.gem.wiki/Arun_II_power_station" TargetMode="External"/><Relationship Id="rId177" Type="http://schemas.openxmlformats.org/officeDocument/2006/relationships/hyperlink" Target="https://www.gem.wiki/Tambak_Lorok_power_station" TargetMode="External"/><Relationship Id="rId20" Type="http://schemas.openxmlformats.org/officeDocument/2006/relationships/hyperlink" Target="https://www.gem.wiki/Sumatera/Banda_Aceh_power_station" TargetMode="External"/><Relationship Id="rId22" Type="http://schemas.openxmlformats.org/officeDocument/2006/relationships/hyperlink" Target="https://www.gem.wiki/Minahasa_power_station" TargetMode="External"/><Relationship Id="rId21" Type="http://schemas.openxmlformats.org/officeDocument/2006/relationships/hyperlink" Target="https://www.gem.wiki/Lombok_2_power_station" TargetMode="External"/><Relationship Id="rId24" Type="http://schemas.openxmlformats.org/officeDocument/2006/relationships/hyperlink" Target="https://www.gem.wiki/Kaltara_power_station" TargetMode="External"/><Relationship Id="rId23" Type="http://schemas.openxmlformats.org/officeDocument/2006/relationships/hyperlink" Target="https://www.gem.wiki/Kalteng_power_station" TargetMode="External"/><Relationship Id="rId26" Type="http://schemas.openxmlformats.org/officeDocument/2006/relationships/hyperlink" Target="https://www.gem.wiki/Kalselteng_power_station" TargetMode="External"/><Relationship Id="rId25" Type="http://schemas.openxmlformats.org/officeDocument/2006/relationships/hyperlink" Target="https://www.gem.wiki/Lombok_3_power_station" TargetMode="External"/><Relationship Id="rId28" Type="http://schemas.openxmlformats.org/officeDocument/2006/relationships/hyperlink" Target="https://www.gem.wiki/Kalimantan_2_power_station" TargetMode="External"/><Relationship Id="rId27" Type="http://schemas.openxmlformats.org/officeDocument/2006/relationships/hyperlink" Target="https://www.gem.wiki/Madura_PTBA_power_station" TargetMode="External"/><Relationship Id="rId29" Type="http://schemas.openxmlformats.org/officeDocument/2006/relationships/hyperlink" Target="https://www.gem.wiki/Madura_PTBA_power_station" TargetMode="External"/><Relationship Id="rId11" Type="http://schemas.openxmlformats.org/officeDocument/2006/relationships/hyperlink" Target="https://www.gem.wiki/Sumbagut_Gas_and_Steam_power_station" TargetMode="External"/><Relationship Id="rId10" Type="http://schemas.openxmlformats.org/officeDocument/2006/relationships/hyperlink" Target="https://www.gem.wiki/Krakatau_power_station" TargetMode="External"/><Relationship Id="rId13" Type="http://schemas.openxmlformats.org/officeDocument/2006/relationships/hyperlink" Target="https://www.gem.wiki/Sumbagut_Gas_and_Steam_power_station" TargetMode="External"/><Relationship Id="rId12" Type="http://schemas.openxmlformats.org/officeDocument/2006/relationships/hyperlink" Target="https://www.gem.wiki/Madura_PTBA_power_station" TargetMode="External"/><Relationship Id="rId15" Type="http://schemas.openxmlformats.org/officeDocument/2006/relationships/hyperlink" Target="https://www.gem.wiki/Batubara_power_station" TargetMode="External"/><Relationship Id="rId198" Type="http://schemas.openxmlformats.org/officeDocument/2006/relationships/hyperlink" Target="https://www.gem.wiki/Gresik_power_station" TargetMode="External"/><Relationship Id="rId14" Type="http://schemas.openxmlformats.org/officeDocument/2006/relationships/hyperlink" Target="https://www.gem.wiki/Sumbagut_Gas_and_Steam_power_station" TargetMode="External"/><Relationship Id="rId197" Type="http://schemas.openxmlformats.org/officeDocument/2006/relationships/hyperlink" Target="https://www.gem.wiki/Gresik_power_station" TargetMode="External"/><Relationship Id="rId17" Type="http://schemas.openxmlformats.org/officeDocument/2006/relationships/hyperlink" Target="https://www.gem.wiki/Minahasa_power_station" TargetMode="External"/><Relationship Id="rId196" Type="http://schemas.openxmlformats.org/officeDocument/2006/relationships/hyperlink" Target="https://www.gem.wiki/Gresik_power_station" TargetMode="External"/><Relationship Id="rId16" Type="http://schemas.openxmlformats.org/officeDocument/2006/relationships/hyperlink" Target="https://www.gem.wiki/Jawa-3_Combined_Cycle_power_station" TargetMode="External"/><Relationship Id="rId195" Type="http://schemas.openxmlformats.org/officeDocument/2006/relationships/hyperlink" Target="https://www.gem.wiki/Tambak_Lorok_power_station" TargetMode="External"/><Relationship Id="rId19" Type="http://schemas.openxmlformats.org/officeDocument/2006/relationships/hyperlink" Target="https://www.gem.wiki/Kaltara_power_station" TargetMode="External"/><Relationship Id="rId18" Type="http://schemas.openxmlformats.org/officeDocument/2006/relationships/hyperlink" Target="https://www.gem.wiki/Kalselteng_power_station" TargetMode="External"/><Relationship Id="rId199" Type="http://schemas.openxmlformats.org/officeDocument/2006/relationships/hyperlink" Target="https://www.gem.wiki/Tanjung_Priok_power_station" TargetMode="External"/><Relationship Id="rId84" Type="http://schemas.openxmlformats.org/officeDocument/2006/relationships/hyperlink" Target="https://petrokimia-gresik.com/news/proyek-ggcp-petrokimia-gresik-ditargetkan-rampung-september-2017?hl=en" TargetMode="External"/><Relationship Id="rId83" Type="http://schemas.openxmlformats.org/officeDocument/2006/relationships/hyperlink" Target="https://www.scribd.com/doc/119920279/Laporan-PKL-Teknik-Listrik-PLTG-PAuh-Limo-Padang" TargetMode="External"/><Relationship Id="rId86" Type="http://schemas.openxmlformats.org/officeDocument/2006/relationships/hyperlink" Target="https://kumparan.com/kumparanbisnis/jokowi-resmikan-pengoperasian-8-pltg-berkapasitas-500-mw/2" TargetMode="External"/><Relationship Id="rId85" Type="http://schemas.openxmlformats.org/officeDocument/2006/relationships/hyperlink" Target="https://aceh.tribunnews.com/2014/06/12/kka-mulai-suplai-listrik-ke-pln" TargetMode="External"/><Relationship Id="rId88" Type="http://schemas.openxmlformats.org/officeDocument/2006/relationships/hyperlink" Target="https://openjicareport.jica.go.jp/pdf/11838976_05.pdf?" TargetMode="External"/><Relationship Id="rId150" Type="http://schemas.openxmlformats.org/officeDocument/2006/relationships/hyperlink" Target="https://www.gem.wiki/Tanjunguncang_power_station" TargetMode="External"/><Relationship Id="rId87" Type="http://schemas.openxmlformats.org/officeDocument/2006/relationships/hyperlink" Target="https://kumparan.com/kumparanbisnis/jokowi-resmikan-pengoperasian-8-pltg-berkapasitas-500-mw/2" TargetMode="External"/><Relationship Id="rId89" Type="http://schemas.openxmlformats.org/officeDocument/2006/relationships/hyperlink" Target="https://www.plnnpc.com/?cat=68&amp;paged=5&amp;utm_source=chatgpt.com" TargetMode="External"/><Relationship Id="rId80" Type="http://schemas.openxmlformats.org/officeDocument/2006/relationships/hyperlink" Target="https://repit.wordpress.com/wp-content/uploads/2013/03/gbu-ip-semarang1.pdf?utm_source=chatgpt.com" TargetMode="External"/><Relationship Id="rId82" Type="http://schemas.openxmlformats.org/officeDocument/2006/relationships/hyperlink" Target="https://industri.kontan.co.id/news/pln-operasikan-plbg-talang-duku-dan-pltmg-sei-gelam-1" TargetMode="External"/><Relationship Id="rId81" Type="http://schemas.openxmlformats.org/officeDocument/2006/relationships/hyperlink" Target="https://web.pln.co.id/cms/media/siaran-pers/2016/12/pln-operasikan-8-pembangkit-listrik-total-kapasitas-500-mw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www.gem.wiki/Cilegon_KDL_power_station" TargetMode="External"/><Relationship Id="rId4" Type="http://schemas.openxmlformats.org/officeDocument/2006/relationships/hyperlink" Target="https://www.gem.wiki/Jayapura-2_power_station" TargetMode="External"/><Relationship Id="rId148" Type="http://schemas.openxmlformats.org/officeDocument/2006/relationships/hyperlink" Target="https://www.gem.wiki/Krakatau_power_station" TargetMode="External"/><Relationship Id="rId9" Type="http://schemas.openxmlformats.org/officeDocument/2006/relationships/hyperlink" Target="https://www.gem.wiki/Kalsel_1_power_station" TargetMode="External"/><Relationship Id="rId143" Type="http://schemas.openxmlformats.org/officeDocument/2006/relationships/hyperlink" Target="https://www.gem.wiki/Gunung_Megang_power_station" TargetMode="External"/><Relationship Id="rId142" Type="http://schemas.openxmlformats.org/officeDocument/2006/relationships/hyperlink" Target="https://www.gem.wiki/Jababeka_Industrial_Estate_power_station" TargetMode="External"/><Relationship Id="rId141" Type="http://schemas.openxmlformats.org/officeDocument/2006/relationships/hyperlink" Target="https://finance.detik.com/energi/d-3369217/8-pltg-baru-dioperasikan-pln-pasokan-listrik-bertambah-500-mw" TargetMode="External"/><Relationship Id="rId140" Type="http://schemas.openxmlformats.org/officeDocument/2006/relationships/hyperlink" Target="https://www.gem.wiki/Gresik_power_station" TargetMode="External"/><Relationship Id="rId5" Type="http://schemas.openxmlformats.org/officeDocument/2006/relationships/hyperlink" Target="https://www.gem.wiki/Jayapura-3_power_station" TargetMode="External"/><Relationship Id="rId147" Type="http://schemas.openxmlformats.org/officeDocument/2006/relationships/hyperlink" Target="https://www.gem.wiki/Senipah_power_station" TargetMode="External"/><Relationship Id="rId6" Type="http://schemas.openxmlformats.org/officeDocument/2006/relationships/hyperlink" Target="https://www.gem.wiki/Jayapura_power_station" TargetMode="External"/><Relationship Id="rId146" Type="http://schemas.openxmlformats.org/officeDocument/2006/relationships/hyperlink" Target="https://www.gem.wiki/Batamindo_Industrial_Park_power_station" TargetMode="External"/><Relationship Id="rId7" Type="http://schemas.openxmlformats.org/officeDocument/2006/relationships/hyperlink" Target="https://www.gem.wiki/Sulbagut_1_Combined_Cycle_power_station" TargetMode="External"/><Relationship Id="rId145" Type="http://schemas.openxmlformats.org/officeDocument/2006/relationships/hyperlink" Target="https://www.gem.wiki/Duri_power_station" TargetMode="External"/><Relationship Id="rId8" Type="http://schemas.openxmlformats.org/officeDocument/2006/relationships/hyperlink" Target="https://www.gem.wiki/Sumbagut/Banda_Aceh_sewa_power_station" TargetMode="External"/><Relationship Id="rId144" Type="http://schemas.openxmlformats.org/officeDocument/2006/relationships/hyperlink" Target="https://www.gem.wiki/Sungai_Gelam_power_station" TargetMode="External"/><Relationship Id="rId73" Type="http://schemas.openxmlformats.org/officeDocument/2006/relationships/hyperlink" Target="https://repository.its.ac.id/3887/" TargetMode="External"/><Relationship Id="rId72" Type="http://schemas.openxmlformats.org/officeDocument/2006/relationships/hyperlink" Target="https://pt-aep.com/assessment-cleaning-repairing-electrostatic-precipitator-pt-miwon-indonesia/?utm_source=chatgpt.com" TargetMode="External"/><Relationship Id="rId75" Type="http://schemas.openxmlformats.org/officeDocument/2006/relationships/hyperlink" Target="https://www.scribd.com/document/776824166/Laporan-Magang-Mandiri-Pltg-Tello?" TargetMode="External"/><Relationship Id="rId74" Type="http://schemas.openxmlformats.org/officeDocument/2006/relationships/hyperlink" Target="https://medcopower.co.id/wp-content/uploads/2022/01/Annual-Report-2018.pdf" TargetMode="External"/><Relationship Id="rId77" Type="http://schemas.openxmlformats.org/officeDocument/2006/relationships/hyperlink" Target="https://www.scribd.com/document/718470957/LAPORAN-KP-KERBY-20-015" TargetMode="External"/><Relationship Id="rId76" Type="http://schemas.openxmlformats.org/officeDocument/2006/relationships/hyperlink" Target="https://www.scribd.com/doc/212485967/BAB-I" TargetMode="External"/><Relationship Id="rId79" Type="http://schemas.openxmlformats.org/officeDocument/2006/relationships/hyperlink" Target="https://api-jdih.pekanbaru.go.id/storage/products/1/1613015062perda-no-5-tahun-2019.pdf" TargetMode="External"/><Relationship Id="rId78" Type="http://schemas.openxmlformats.org/officeDocument/2006/relationships/hyperlink" Target="https://www.liputan6.com/bisnis/read/3604058/perdana-pltg-sambera-dapat-pasokan-gas-dari-pertamina?utm_source=chatgpt.com" TargetMode="External"/><Relationship Id="rId71" Type="http://schemas.openxmlformats.org/officeDocument/2006/relationships/hyperlink" Target="https://gatrik.esdm.go.id/assets/uploads/download_index/files/ee790-capaian-kinerja-for-web-dual-bahasa.pdf" TargetMode="External"/><Relationship Id="rId70" Type="http://schemas.openxmlformats.org/officeDocument/2006/relationships/hyperlink" Target="https://www.gem.wiki/Batubara_power_station" TargetMode="External"/><Relationship Id="rId139" Type="http://schemas.openxmlformats.org/officeDocument/2006/relationships/hyperlink" Target="https://www.gem.wiki/Gresik_power_station" TargetMode="External"/><Relationship Id="rId138" Type="http://schemas.openxmlformats.org/officeDocument/2006/relationships/hyperlink" Target="https://www.gem.wiki/Gorontalo_power_station" TargetMode="External"/><Relationship Id="rId137" Type="http://schemas.openxmlformats.org/officeDocument/2006/relationships/hyperlink" Target="https://www.gem.wiki/Borang_power_station" TargetMode="External"/><Relationship Id="rId132" Type="http://schemas.openxmlformats.org/officeDocument/2006/relationships/hyperlink" Target="https://www.gem.wiki/Panaran_power_station" TargetMode="External"/><Relationship Id="rId131" Type="http://schemas.openxmlformats.org/officeDocument/2006/relationships/hyperlink" Target="https://www.gem.wiki/Panaran_power_station" TargetMode="External"/><Relationship Id="rId130" Type="http://schemas.openxmlformats.org/officeDocument/2006/relationships/hyperlink" Target="https://www.gem.wiki/Citeureup_Cement_Works_power_station" TargetMode="External"/><Relationship Id="rId136" Type="http://schemas.openxmlformats.org/officeDocument/2006/relationships/hyperlink" Target="https://www.gem.wiki/North_Duri_cogeneration_power_station" TargetMode="External"/><Relationship Id="rId135" Type="http://schemas.openxmlformats.org/officeDocument/2006/relationships/hyperlink" Target="https://www.gem.wiki/North_Duri_cogeneration_power_station" TargetMode="External"/><Relationship Id="rId134" Type="http://schemas.openxmlformats.org/officeDocument/2006/relationships/hyperlink" Target="https://www.gem.wiki/North_Duri_cogeneration_power_station" TargetMode="External"/><Relationship Id="rId133" Type="http://schemas.openxmlformats.org/officeDocument/2006/relationships/hyperlink" Target="https://www.gem.wiki/Mandira_1_power_station" TargetMode="External"/><Relationship Id="rId62" Type="http://schemas.openxmlformats.org/officeDocument/2006/relationships/hyperlink" Target="https://www.gem.wiki/Jawa-6_power_station" TargetMode="External"/><Relationship Id="rId61" Type="http://schemas.openxmlformats.org/officeDocument/2006/relationships/hyperlink" Target="https://www.gem.wiki/Jawa-5_power_station" TargetMode="External"/><Relationship Id="rId64" Type="http://schemas.openxmlformats.org/officeDocument/2006/relationships/hyperlink" Target="https://www.gem.wiki/Balikpapan_Refinery_power_plant" TargetMode="External"/><Relationship Id="rId63" Type="http://schemas.openxmlformats.org/officeDocument/2006/relationships/hyperlink" Target="https://www.gem.wiki/Balikpapan_Refinery_power_plant" TargetMode="External"/><Relationship Id="rId66" Type="http://schemas.openxmlformats.org/officeDocument/2006/relationships/hyperlink" Target="https://www.gem.wiki/Balikpapan_Refinery_power_plant" TargetMode="External"/><Relationship Id="rId172" Type="http://schemas.openxmlformats.org/officeDocument/2006/relationships/hyperlink" Target="https://www.gem.wiki/Gresik_power_station" TargetMode="External"/><Relationship Id="rId65" Type="http://schemas.openxmlformats.org/officeDocument/2006/relationships/hyperlink" Target="https://www.gem.wiki/Balikpapan_Refinery_power_plant" TargetMode="External"/><Relationship Id="rId171" Type="http://schemas.openxmlformats.org/officeDocument/2006/relationships/hyperlink" Target="https://www.gem.wiki/Pesanggaran_power_station" TargetMode="External"/><Relationship Id="rId68" Type="http://schemas.openxmlformats.org/officeDocument/2006/relationships/hyperlink" Target="https://www.gem.wiki/Batu_Hijau_power_station" TargetMode="External"/><Relationship Id="rId170" Type="http://schemas.openxmlformats.org/officeDocument/2006/relationships/hyperlink" Target="https://www.gem.wiki/Arun_I_power_station" TargetMode="External"/><Relationship Id="rId67" Type="http://schemas.openxmlformats.org/officeDocument/2006/relationships/hyperlink" Target="https://www.gem.wiki/Riau_2_power_station" TargetMode="External"/><Relationship Id="rId60" Type="http://schemas.openxmlformats.org/officeDocument/2006/relationships/hyperlink" Target="https://www.gem.wiki/Jawa-4_power_station" TargetMode="External"/><Relationship Id="rId165" Type="http://schemas.openxmlformats.org/officeDocument/2006/relationships/hyperlink" Target="https://www.gem.wiki/Bangkanai_I_power_station" TargetMode="External"/><Relationship Id="rId69" Type="http://schemas.openxmlformats.org/officeDocument/2006/relationships/hyperlink" Target="https://www.gem.wiki/Batubara_power_station" TargetMode="External"/><Relationship Id="rId164" Type="http://schemas.openxmlformats.org/officeDocument/2006/relationships/hyperlink" Target="https://www.gem.wiki/Muara_Tawar_power_station" TargetMode="External"/><Relationship Id="rId163" Type="http://schemas.openxmlformats.org/officeDocument/2006/relationships/hyperlink" Target="https://www.gem.wiki/Muara_Tawar_power_station" TargetMode="External"/><Relationship Id="rId162" Type="http://schemas.openxmlformats.org/officeDocument/2006/relationships/hyperlink" Target="https://www.gem.wiki/Muara_Tawar_power_station" TargetMode="External"/><Relationship Id="rId169" Type="http://schemas.openxmlformats.org/officeDocument/2006/relationships/hyperlink" Target="https://www.gem.wiki/Sengkang_power_station" TargetMode="External"/><Relationship Id="rId168" Type="http://schemas.openxmlformats.org/officeDocument/2006/relationships/hyperlink" Target="https://www.listrindo.com/service/mm2100?utm_source=chatgpt.com" TargetMode="External"/><Relationship Id="rId167" Type="http://schemas.openxmlformats.org/officeDocument/2006/relationships/hyperlink" Target="https://www.gem.wiki/Belawan_Berkat_power_station" TargetMode="External"/><Relationship Id="rId166" Type="http://schemas.openxmlformats.org/officeDocument/2006/relationships/hyperlink" Target="https://www.gem.wiki/Palembang_Timur_power_station" TargetMode="External"/><Relationship Id="rId51" Type="http://schemas.openxmlformats.org/officeDocument/2006/relationships/hyperlink" Target="https://www.gem.wiki/Jawa-Bali_5_power_station" TargetMode="External"/><Relationship Id="rId50" Type="http://schemas.openxmlformats.org/officeDocument/2006/relationships/hyperlink" Target="https://www.gem.wiki/Jawa-Bali_4_power_station" TargetMode="External"/><Relationship Id="rId53" Type="http://schemas.openxmlformats.org/officeDocument/2006/relationships/hyperlink" Target="https://www.gem.wiki/Jawa-Bali_2_power_station" TargetMode="External"/><Relationship Id="rId52" Type="http://schemas.openxmlformats.org/officeDocument/2006/relationships/hyperlink" Target="https://www.gem.wiki/Sumbagsel-2_power_station" TargetMode="External"/><Relationship Id="rId55" Type="http://schemas.openxmlformats.org/officeDocument/2006/relationships/hyperlink" Target="https://www.gem.wiki/Jawa-Bali_6_power_station" TargetMode="External"/><Relationship Id="rId161" Type="http://schemas.openxmlformats.org/officeDocument/2006/relationships/hyperlink" Target="https://www.gem.wiki/Muara_Tawar_power_station" TargetMode="External"/><Relationship Id="rId54" Type="http://schemas.openxmlformats.org/officeDocument/2006/relationships/hyperlink" Target="https://www.gem.wiki/Jawa-Bali_3_power_station" TargetMode="External"/><Relationship Id="rId160" Type="http://schemas.openxmlformats.org/officeDocument/2006/relationships/hyperlink" Target="https://www.gem.wiki/Muara_Tawar_power_station" TargetMode="External"/><Relationship Id="rId57" Type="http://schemas.openxmlformats.org/officeDocument/2006/relationships/hyperlink" Target="https://www.gem.wiki/Jawa-Bali_7_power_station" TargetMode="External"/><Relationship Id="rId56" Type="http://schemas.openxmlformats.org/officeDocument/2006/relationships/hyperlink" Target="https://www.gem.wiki/Sulbagsel_power_station" TargetMode="External"/><Relationship Id="rId159" Type="http://schemas.openxmlformats.org/officeDocument/2006/relationships/hyperlink" Target="https://www.gem.wiki/Muara_Tawar_power_station" TargetMode="External"/><Relationship Id="rId59" Type="http://schemas.openxmlformats.org/officeDocument/2006/relationships/hyperlink" Target="https://www.gem.wiki/Sulbagsel-1_power_station" TargetMode="External"/><Relationship Id="rId154" Type="http://schemas.openxmlformats.org/officeDocument/2006/relationships/hyperlink" Target="https://www.gem.wiki/Bekasi_power_station" TargetMode="External"/><Relationship Id="rId58" Type="http://schemas.openxmlformats.org/officeDocument/2006/relationships/hyperlink" Target="https://www.gem.wiki/Sulbagsel-3_power_station" TargetMode="External"/><Relationship Id="rId153" Type="http://schemas.openxmlformats.org/officeDocument/2006/relationships/hyperlink" Target="https://www.gem.wiki/Grasberg_Mine_power_station" TargetMode="External"/><Relationship Id="rId152" Type="http://schemas.openxmlformats.org/officeDocument/2006/relationships/hyperlink" Target="https://www.gem.wiki/Karpowership_(Indonesia)_Zeynep_Sultan_power_station" TargetMode="External"/><Relationship Id="rId151" Type="http://schemas.openxmlformats.org/officeDocument/2006/relationships/hyperlink" Target="https://www.gem.wiki/Indralaya_power_station" TargetMode="External"/><Relationship Id="rId158" Type="http://schemas.openxmlformats.org/officeDocument/2006/relationships/hyperlink" Target="https://www.gem.wiki/Bangkanai_II_power_station" TargetMode="External"/><Relationship Id="rId157" Type="http://schemas.openxmlformats.org/officeDocument/2006/relationships/hyperlink" Target="https://www.gem.wiki/Lombok_Peaker_power_station" TargetMode="External"/><Relationship Id="rId156" Type="http://schemas.openxmlformats.org/officeDocument/2006/relationships/hyperlink" Target="https://www.gem.wiki/Sengkang_power_station" TargetMode="External"/><Relationship Id="rId155" Type="http://schemas.openxmlformats.org/officeDocument/2006/relationships/hyperlink" Target="https://www.gem.wiki/Gilimanuk_power_station" TargetMode="External"/><Relationship Id="rId107" Type="http://schemas.openxmlformats.org/officeDocument/2006/relationships/hyperlink" Target="https://www.gem.wiki/Sumbawa-1_power_station" TargetMode="External"/><Relationship Id="rId106" Type="http://schemas.openxmlformats.org/officeDocument/2006/relationships/hyperlink" Target="https://www.gem.wiki/Perak_power_station" TargetMode="External"/><Relationship Id="rId105" Type="http://schemas.openxmlformats.org/officeDocument/2006/relationships/hyperlink" Target="https://www.gem.wiki/Perak_power_station" TargetMode="External"/><Relationship Id="rId104" Type="http://schemas.openxmlformats.org/officeDocument/2006/relationships/hyperlink" Target="https://www.gem.wiki/Kaltim_power_station" TargetMode="External"/><Relationship Id="rId109" Type="http://schemas.openxmlformats.org/officeDocument/2006/relationships/hyperlink" Target="https://www.gem.wiki/Tambak_Lorok_power_station" TargetMode="External"/><Relationship Id="rId108" Type="http://schemas.openxmlformats.org/officeDocument/2006/relationships/hyperlink" Target="https://www.gem.wiki/Tambak_Lorok_power_station" TargetMode="External"/><Relationship Id="rId103" Type="http://schemas.openxmlformats.org/officeDocument/2006/relationships/hyperlink" Target="https://www.gem.wiki/Kaltim_power_station" TargetMode="External"/><Relationship Id="rId102" Type="http://schemas.openxmlformats.org/officeDocument/2006/relationships/hyperlink" Target="https://www.gem.wiki/Payo_Selincah_power_station" TargetMode="External"/><Relationship Id="rId101" Type="http://schemas.openxmlformats.org/officeDocument/2006/relationships/hyperlink" Target="https://www.gem.wiki/Payo_Selincah_power_station" TargetMode="External"/><Relationship Id="rId100" Type="http://schemas.openxmlformats.org/officeDocument/2006/relationships/hyperlink" Target="https://www.gem.wiki/Pindo-Deli-Ii_power_station" TargetMode="External"/><Relationship Id="rId217" Type="http://schemas.openxmlformats.org/officeDocument/2006/relationships/hyperlink" Target="https://www.gem.wiki/Bahodopi_Vale_Nickel_Smelter_power_station" TargetMode="External"/><Relationship Id="rId216" Type="http://schemas.openxmlformats.org/officeDocument/2006/relationships/hyperlink" Target="https://www.gem.wiki/Kalbar-2_power_station" TargetMode="External"/><Relationship Id="rId215" Type="http://schemas.openxmlformats.org/officeDocument/2006/relationships/hyperlink" Target="https://www.gem.wiki/Amamapare_Port_power_station" TargetMode="External"/><Relationship Id="rId214" Type="http://schemas.openxmlformats.org/officeDocument/2006/relationships/hyperlink" Target="https://www.gem.wiki/Riau_Peaker_power_station" TargetMode="External"/><Relationship Id="rId219" Type="http://schemas.openxmlformats.org/officeDocument/2006/relationships/vmlDrawing" Target="../drawings/vmlDrawing1.vml"/><Relationship Id="rId218" Type="http://schemas.openxmlformats.org/officeDocument/2006/relationships/drawing" Target="../drawings/drawing1.xml"/><Relationship Id="rId213" Type="http://schemas.openxmlformats.org/officeDocument/2006/relationships/hyperlink" Target="https://www.gem.wiki/Kalbar-2_power_station" TargetMode="External"/><Relationship Id="rId212" Type="http://schemas.openxmlformats.org/officeDocument/2006/relationships/hyperlink" Target="https://www.gem.wiki/Kaltim_power_station" TargetMode="External"/><Relationship Id="rId211" Type="http://schemas.openxmlformats.org/officeDocument/2006/relationships/hyperlink" Target="https://www.gem.wiki/Kaltim_power_station" TargetMode="External"/><Relationship Id="rId210" Type="http://schemas.openxmlformats.org/officeDocument/2006/relationships/hyperlink" Target="https://www.gem.wiki/Kaltim_power_station" TargetMode="External"/><Relationship Id="rId129" Type="http://schemas.openxmlformats.org/officeDocument/2006/relationships/hyperlink" Target="https://www.gem.wiki/Keramasan_PLN_power_station" TargetMode="External"/><Relationship Id="rId128" Type="http://schemas.openxmlformats.org/officeDocument/2006/relationships/hyperlink" Target="https://www.gem.wiki/Cilegon_KDL_power_station" TargetMode="External"/><Relationship Id="rId127" Type="http://schemas.openxmlformats.org/officeDocument/2006/relationships/hyperlink" Target="https://www.gem.wiki/Cilegon_KDL_power_station" TargetMode="External"/><Relationship Id="rId126" Type="http://schemas.openxmlformats.org/officeDocument/2006/relationships/hyperlink" Target="https://www.gem.wiki/Cilegon_KDL_power_station" TargetMode="External"/><Relationship Id="rId121" Type="http://schemas.openxmlformats.org/officeDocument/2006/relationships/hyperlink" Target="https://www.gem.wiki/Belawan_power_station" TargetMode="External"/><Relationship Id="rId120" Type="http://schemas.openxmlformats.org/officeDocument/2006/relationships/hyperlink" Target="https://www.gem.wiki/Belawan_power_station" TargetMode="External"/><Relationship Id="rId125" Type="http://schemas.openxmlformats.org/officeDocument/2006/relationships/hyperlink" Target="https://www.gem.wiki/Cilegon_KDL_power_station" TargetMode="External"/><Relationship Id="rId124" Type="http://schemas.openxmlformats.org/officeDocument/2006/relationships/hyperlink" Target="https://www.gem.wiki/Cilegon_KDL_power_station" TargetMode="External"/><Relationship Id="rId123" Type="http://schemas.openxmlformats.org/officeDocument/2006/relationships/hyperlink" Target="https://web.pln.co.id/cms/media/siaran-pers/2016/12/pln-operasikan-8-pembangkit-listrik-total-kapasitas-500-mw/" TargetMode="External"/><Relationship Id="rId122" Type="http://schemas.openxmlformats.org/officeDocument/2006/relationships/hyperlink" Target="https://www.gem.wiki/Belawan_power_station" TargetMode="External"/><Relationship Id="rId95" Type="http://schemas.openxmlformats.org/officeDocument/2006/relationships/hyperlink" Target="https://www.indopremier.com/ipotnews/newsDetail.php?jdl=Dukung+Kelistrikan+Batam-Bintan%2C+MEDC+Tambah+Kapasitas+PLTGU+Tanjung+Uncang+Jadi+109+MW&amp;news_id=479437&amp;group_news=RESEARCHNEWS&amp;news_date=&amp;taging_subtype=&amp;name=&amp;search=&amp;q=&amp;halaman=" TargetMode="External"/><Relationship Id="rId94" Type="http://schemas.openxmlformats.org/officeDocument/2006/relationships/hyperlink" Target="https://en.wikipedia.org/wiki/List_of_power_stations_in_Indonesia" TargetMode="External"/><Relationship Id="rId97" Type="http://schemas.openxmlformats.org/officeDocument/2006/relationships/hyperlink" Target="https://www.gem.wiki/Power_Sector_Transition_in_Bali" TargetMode="External"/><Relationship Id="rId96" Type="http://schemas.openxmlformats.org/officeDocument/2006/relationships/hyperlink" Target="https://medcopower.co.id/id/pt-medco-power-indonesia-commencing-the-construction-of-39-mw-add-on-combined-cycle-power-plant-energy-conservation-project-in-tanjung-uncang-batam/" TargetMode="External"/><Relationship Id="rId99" Type="http://schemas.openxmlformats.org/officeDocument/2006/relationships/hyperlink" Target="https://www.gem.wiki/Power_Sector_Transition_in_Bali" TargetMode="External"/><Relationship Id="rId98" Type="http://schemas.openxmlformats.org/officeDocument/2006/relationships/hyperlink" Target="https://kehatipltguunitpemaron.wordpress.com/beranda/" TargetMode="External"/><Relationship Id="rId91" Type="http://schemas.openxmlformats.org/officeDocument/2006/relationships/hyperlink" Target="https://repit.wordpress.com/wp-content/uploads/2013/04/gbu-pjb-pltgu-gresik1.pdf" TargetMode="External"/><Relationship Id="rId90" Type="http://schemas.openxmlformats.org/officeDocument/2006/relationships/hyperlink" Target="https://www.antarafoto.com/id/view/71731/pln?utm_source=chatgpt.com" TargetMode="External"/><Relationship Id="rId93" Type="http://schemas.openxmlformats.org/officeDocument/2006/relationships/hyperlink" Target="https://www.detik.com/sumbagsel/detiksumbagsel/d-7377556/daftar-pembangkit-listrik-di-sumbagsel-ini-wilayahnya" TargetMode="External"/><Relationship Id="rId92" Type="http://schemas.openxmlformats.org/officeDocument/2006/relationships/hyperlink" Target="https://www.antarafoto.com/id/view/182674/pltg-borang" TargetMode="External"/><Relationship Id="rId118" Type="http://schemas.openxmlformats.org/officeDocument/2006/relationships/hyperlink" Target="https://www.gem.wiki/Tanjung_Batu_power_station" TargetMode="External"/><Relationship Id="rId117" Type="http://schemas.openxmlformats.org/officeDocument/2006/relationships/hyperlink" Target="https://www.gem.wiki/BMPP_Nusantara-1_power_station" TargetMode="External"/><Relationship Id="rId116" Type="http://schemas.openxmlformats.org/officeDocument/2006/relationships/hyperlink" Target="https://www.gem.wiki/BMPP_Nusantara-2_power_station" TargetMode="External"/><Relationship Id="rId115" Type="http://schemas.openxmlformats.org/officeDocument/2006/relationships/hyperlink" Target="https://www.gem.wiki/Lueng_Bata_power_station" TargetMode="External"/><Relationship Id="rId119" Type="http://schemas.openxmlformats.org/officeDocument/2006/relationships/hyperlink" Target="https://www.gem.wiki/Belawan_power_station" TargetMode="External"/><Relationship Id="rId110" Type="http://schemas.openxmlformats.org/officeDocument/2006/relationships/hyperlink" Target="https://www.esdm.go.id/id/berita-unit/direktorat-jenderal-ketenagalistrikan/resmikan-proyek-ketenagalistrikan-di-kalbar-presiden-instruksikan-pltg-mpp-diprioritaskan" TargetMode="External"/><Relationship Id="rId114" Type="http://schemas.openxmlformats.org/officeDocument/2006/relationships/hyperlink" Target="https://www.gem.wiki/Jayapura_power_station" TargetMode="External"/><Relationship Id="rId113" Type="http://schemas.openxmlformats.org/officeDocument/2006/relationships/hyperlink" Target="https://www.gem.wiki/Vpower_Palembang_power_station" TargetMode="External"/><Relationship Id="rId112" Type="http://schemas.openxmlformats.org/officeDocument/2006/relationships/hyperlink" Target="https://www.gem.wiki/Vpower_Jambi_power_station" TargetMode="External"/><Relationship Id="rId111" Type="http://schemas.openxmlformats.org/officeDocument/2006/relationships/hyperlink" Target="https://web.pln.co.id/cms/media/siaran-pers/2016/12/pln-operasikan-8-pembangkit-listrik-total-kapasitas-500-mw/" TargetMode="External"/><Relationship Id="rId206" Type="http://schemas.openxmlformats.org/officeDocument/2006/relationships/hyperlink" Target="https://www.gem.wiki/Tambak_Lorok_power_station" TargetMode="External"/><Relationship Id="rId205" Type="http://schemas.openxmlformats.org/officeDocument/2006/relationships/hyperlink" Target="https://www.gem.wiki/Jababeka_Industrial_Estate_power_station" TargetMode="External"/><Relationship Id="rId204" Type="http://schemas.openxmlformats.org/officeDocument/2006/relationships/hyperlink" Target="https://www.gem.wiki/Tanjung_Priok_power_station" TargetMode="External"/><Relationship Id="rId203" Type="http://schemas.openxmlformats.org/officeDocument/2006/relationships/hyperlink" Target="https://www.gem.wiki/Cilegon_power_station" TargetMode="External"/><Relationship Id="rId209" Type="http://schemas.openxmlformats.org/officeDocument/2006/relationships/hyperlink" Target="https://www.gem.wiki/Tanjung_Priok_power_station" TargetMode="External"/><Relationship Id="rId208" Type="http://schemas.openxmlformats.org/officeDocument/2006/relationships/hyperlink" Target="https://www.gem.wiki/PLTGU_Jawa-1_power_station" TargetMode="External"/><Relationship Id="rId207" Type="http://schemas.openxmlformats.org/officeDocument/2006/relationships/hyperlink" Target="https://www.gem.wiki/PLTGU_Jawa-1_power_station" TargetMode="External"/><Relationship Id="rId202" Type="http://schemas.openxmlformats.org/officeDocument/2006/relationships/hyperlink" Target="https://www.gem.wiki/Muara_Karang_power_station" TargetMode="External"/><Relationship Id="rId201" Type="http://schemas.openxmlformats.org/officeDocument/2006/relationships/hyperlink" Target="https://www.gem.wiki/Muara_Tawar_power_station" TargetMode="External"/><Relationship Id="rId200" Type="http://schemas.openxmlformats.org/officeDocument/2006/relationships/hyperlink" Target="https://www.gem.wiki/Tanjung_Priok_power_statio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em.wiki/Citeureup_Cement_Works_power_station" TargetMode="External"/><Relationship Id="rId42" Type="http://schemas.openxmlformats.org/officeDocument/2006/relationships/hyperlink" Target="https://www.gem.wiki/Gilimanuk_power_station" TargetMode="External"/><Relationship Id="rId41" Type="http://schemas.openxmlformats.org/officeDocument/2006/relationships/hyperlink" Target="https://www.gem.wiki/Duri_power_station" TargetMode="External"/><Relationship Id="rId44" Type="http://schemas.openxmlformats.org/officeDocument/2006/relationships/hyperlink" Target="https://www.gem.wiki/Grasberg_Mine_power_station" TargetMode="External"/><Relationship Id="rId43" Type="http://schemas.openxmlformats.org/officeDocument/2006/relationships/hyperlink" Target="https://www.gem.wiki/Gorontalo_power_station" TargetMode="External"/><Relationship Id="rId46" Type="http://schemas.openxmlformats.org/officeDocument/2006/relationships/hyperlink" Target="https://www.gem.wiki/Grati_power_station" TargetMode="External"/><Relationship Id="rId45" Type="http://schemas.openxmlformats.org/officeDocument/2006/relationships/hyperlink" Target="https://www.gem.wiki/Grati_power_station" TargetMode="External"/><Relationship Id="rId48" Type="http://schemas.openxmlformats.org/officeDocument/2006/relationships/hyperlink" Target="https://www.gem.wiki/Gresik_AKR_Estate_power_station" TargetMode="External"/><Relationship Id="rId47" Type="http://schemas.openxmlformats.org/officeDocument/2006/relationships/hyperlink" Target="https://www.gem.wiki/Grati_power_station" TargetMode="External"/><Relationship Id="rId49" Type="http://schemas.openxmlformats.org/officeDocument/2006/relationships/hyperlink" Target="https://www.gem.wiki/Gresik_power_station" TargetMode="External"/><Relationship Id="rId31" Type="http://schemas.openxmlformats.org/officeDocument/2006/relationships/hyperlink" Target="https://www.gem.wiki/BMPP_Nusantara-2_power_station" TargetMode="External"/><Relationship Id="rId30" Type="http://schemas.openxmlformats.org/officeDocument/2006/relationships/hyperlink" Target="https://www.gem.wiki/BMPP_Nusantara-1_power_station" TargetMode="External"/><Relationship Id="rId33" Type="http://schemas.openxmlformats.org/officeDocument/2006/relationships/hyperlink" Target="https://www.gem.wiki/Cilegon_KDL_power_station" TargetMode="External"/><Relationship Id="rId32" Type="http://schemas.openxmlformats.org/officeDocument/2006/relationships/hyperlink" Target="https://www.gem.wiki/Borang_power_station" TargetMode="External"/><Relationship Id="rId35" Type="http://schemas.openxmlformats.org/officeDocument/2006/relationships/hyperlink" Target="https://www.gem.wiki/Cilegon_KDL_power_station" TargetMode="External"/><Relationship Id="rId34" Type="http://schemas.openxmlformats.org/officeDocument/2006/relationships/hyperlink" Target="https://www.gem.wiki/Cilegon_KDL_power_station" TargetMode="External"/><Relationship Id="rId37" Type="http://schemas.openxmlformats.org/officeDocument/2006/relationships/hyperlink" Target="https://www.gem.wiki/Cilegon_KDL_power_station" TargetMode="External"/><Relationship Id="rId36" Type="http://schemas.openxmlformats.org/officeDocument/2006/relationships/hyperlink" Target="https://www.gem.wiki/Cilegon_KDL_power_station" TargetMode="External"/><Relationship Id="rId39" Type="http://schemas.openxmlformats.org/officeDocument/2006/relationships/hyperlink" Target="https://www.gem.wiki/Cilegon_power_station" TargetMode="External"/><Relationship Id="rId38" Type="http://schemas.openxmlformats.org/officeDocument/2006/relationships/hyperlink" Target="https://www.gem.wiki/Cilegon_KDL_power_station" TargetMode="External"/><Relationship Id="rId20" Type="http://schemas.openxmlformats.org/officeDocument/2006/relationships/hyperlink" Target="https://www.gem.wiki/Bekasi_power_station" TargetMode="External"/><Relationship Id="rId22" Type="http://schemas.openxmlformats.org/officeDocument/2006/relationships/hyperlink" Target="https://www.gem.wiki/Belawan_Berkat_power_station" TargetMode="External"/><Relationship Id="rId21" Type="http://schemas.openxmlformats.org/officeDocument/2006/relationships/hyperlink" Target="https://www.gem.wiki/Bekasi_power_station" TargetMode="External"/><Relationship Id="rId24" Type="http://schemas.openxmlformats.org/officeDocument/2006/relationships/hyperlink" Target="https://www.gem.wiki/Belawan_power_station" TargetMode="External"/><Relationship Id="rId23" Type="http://schemas.openxmlformats.org/officeDocument/2006/relationships/hyperlink" Target="https://www.gem.wiki/Belawan_power_station" TargetMode="External"/><Relationship Id="rId26" Type="http://schemas.openxmlformats.org/officeDocument/2006/relationships/hyperlink" Target="https://www.gem.wiki/Belawan_power_station" TargetMode="External"/><Relationship Id="rId25" Type="http://schemas.openxmlformats.org/officeDocument/2006/relationships/hyperlink" Target="https://www.gem.wiki/Belawan_power_station" TargetMode="External"/><Relationship Id="rId28" Type="http://schemas.openxmlformats.org/officeDocument/2006/relationships/hyperlink" Target="https://www.gem.wiki/Belawan_power_station" TargetMode="External"/><Relationship Id="rId27" Type="http://schemas.openxmlformats.org/officeDocument/2006/relationships/hyperlink" Target="https://www.gem.wiki/Belawan_power_station" TargetMode="External"/><Relationship Id="rId29" Type="http://schemas.openxmlformats.org/officeDocument/2006/relationships/hyperlink" Target="https://www.gem.wiki/Belawan_power_station" TargetMode="External"/><Relationship Id="rId11" Type="http://schemas.openxmlformats.org/officeDocument/2006/relationships/hyperlink" Target="https://www.gem.wiki/Bantaeng_LNG_power_station" TargetMode="External"/><Relationship Id="rId10" Type="http://schemas.openxmlformats.org/officeDocument/2006/relationships/hyperlink" Target="https://www.gem.wiki/Bangkanai_II_power_station" TargetMode="External"/><Relationship Id="rId13" Type="http://schemas.openxmlformats.org/officeDocument/2006/relationships/hyperlink" Target="https://www.gem.wiki/Batu_Hijau_power_station" TargetMode="External"/><Relationship Id="rId12" Type="http://schemas.openxmlformats.org/officeDocument/2006/relationships/hyperlink" Target="https://www.gem.wiki/Batamindo_Industrial_Park_power_station" TargetMode="External"/><Relationship Id="rId15" Type="http://schemas.openxmlformats.org/officeDocument/2006/relationships/hyperlink" Target="https://www.gem.wiki/Batubara_power_station" TargetMode="External"/><Relationship Id="rId14" Type="http://schemas.openxmlformats.org/officeDocument/2006/relationships/hyperlink" Target="https://www.gem.wiki/Batubara_power_station" TargetMode="External"/><Relationship Id="rId17" Type="http://schemas.openxmlformats.org/officeDocument/2006/relationships/hyperlink" Target="https://www.gem.wiki/Batubara_power_station" TargetMode="External"/><Relationship Id="rId16" Type="http://schemas.openxmlformats.org/officeDocument/2006/relationships/hyperlink" Target="https://www.gem.wiki/Batubara_power_station" TargetMode="External"/><Relationship Id="rId19" Type="http://schemas.openxmlformats.org/officeDocument/2006/relationships/hyperlink" Target="https://www.gem.wiki/Batubara_power_station" TargetMode="External"/><Relationship Id="rId18" Type="http://schemas.openxmlformats.org/officeDocument/2006/relationships/hyperlink" Target="https://www.gem.wiki/Batubara_power_station" TargetMode="External"/><Relationship Id="rId84" Type="http://schemas.openxmlformats.org/officeDocument/2006/relationships/hyperlink" Target="https://www.gem.wiki/Muara_Karang_power_station" TargetMode="External"/><Relationship Id="rId83" Type="http://schemas.openxmlformats.org/officeDocument/2006/relationships/hyperlink" Target="https://www.gem.wiki/Muara_Karang_power_station" TargetMode="External"/><Relationship Id="rId86" Type="http://schemas.openxmlformats.org/officeDocument/2006/relationships/hyperlink" Target="https://www.gem.wiki/Muara_Karang_power_station" TargetMode="External"/><Relationship Id="rId85" Type="http://schemas.openxmlformats.org/officeDocument/2006/relationships/hyperlink" Target="https://www.gem.wiki/Muara_Karang_power_station" TargetMode="External"/><Relationship Id="rId88" Type="http://schemas.openxmlformats.org/officeDocument/2006/relationships/hyperlink" Target="https://www.gem.wiki/Muara_Tawar_power_station" TargetMode="External"/><Relationship Id="rId87" Type="http://schemas.openxmlformats.org/officeDocument/2006/relationships/hyperlink" Target="https://www.gem.wiki/Muara_Tawar_power_station" TargetMode="External"/><Relationship Id="rId89" Type="http://schemas.openxmlformats.org/officeDocument/2006/relationships/hyperlink" Target="https://www.gem.wiki/Muara_Tawar_power_station" TargetMode="External"/><Relationship Id="rId80" Type="http://schemas.openxmlformats.org/officeDocument/2006/relationships/hyperlink" Target="https://www.gem.wiki/Makassar_power_station" TargetMode="External"/><Relationship Id="rId82" Type="http://schemas.openxmlformats.org/officeDocument/2006/relationships/hyperlink" Target="https://www.gem.wiki/Muara_Karang_power_station" TargetMode="External"/><Relationship Id="rId81" Type="http://schemas.openxmlformats.org/officeDocument/2006/relationships/hyperlink" Target="https://www.gem.wiki/Mandira_1_power_station" TargetMode="External"/><Relationship Id="rId1" Type="http://schemas.openxmlformats.org/officeDocument/2006/relationships/hyperlink" Target="https://www.gem.wiki/Amamapare_Port_power_station" TargetMode="External"/><Relationship Id="rId2" Type="http://schemas.openxmlformats.org/officeDocument/2006/relationships/hyperlink" Target="https://www.gem.wiki/Arun_I_power_station" TargetMode="External"/><Relationship Id="rId3" Type="http://schemas.openxmlformats.org/officeDocument/2006/relationships/hyperlink" Target="https://www.gem.wiki/Arun_II_power_station" TargetMode="External"/><Relationship Id="rId4" Type="http://schemas.openxmlformats.org/officeDocument/2006/relationships/hyperlink" Target="https://www.gem.wiki/Bahodopi_Vale_Nickel_Smelter_power_station" TargetMode="External"/><Relationship Id="rId9" Type="http://schemas.openxmlformats.org/officeDocument/2006/relationships/hyperlink" Target="https://www.gem.wiki/Bangkanai_I_power_station" TargetMode="External"/><Relationship Id="rId143" Type="http://schemas.openxmlformats.org/officeDocument/2006/relationships/hyperlink" Target="https://www.gem.wiki/Vpower_Jambi_power_station" TargetMode="External"/><Relationship Id="rId142" Type="http://schemas.openxmlformats.org/officeDocument/2006/relationships/hyperlink" Target="https://www.gem.wiki/Tanjunguncang_power_station" TargetMode="External"/><Relationship Id="rId141" Type="http://schemas.openxmlformats.org/officeDocument/2006/relationships/hyperlink" Target="https://www.gem.wiki/Tanjung_Priok_power_station" TargetMode="External"/><Relationship Id="rId140" Type="http://schemas.openxmlformats.org/officeDocument/2006/relationships/hyperlink" Target="https://www.gem.wiki/Tanjung_Priok_power_station" TargetMode="External"/><Relationship Id="rId5" Type="http://schemas.openxmlformats.org/officeDocument/2006/relationships/hyperlink" Target="https://www.gem.wiki/Balikpapan_Refinery_power_plant" TargetMode="External"/><Relationship Id="rId6" Type="http://schemas.openxmlformats.org/officeDocument/2006/relationships/hyperlink" Target="https://www.gem.wiki/Balikpapan_Refinery_power_plant" TargetMode="External"/><Relationship Id="rId7" Type="http://schemas.openxmlformats.org/officeDocument/2006/relationships/hyperlink" Target="https://www.gem.wiki/Balikpapan_Refinery_power_plant" TargetMode="External"/><Relationship Id="rId145" Type="http://schemas.openxmlformats.org/officeDocument/2006/relationships/drawing" Target="../drawings/drawing4.xml"/><Relationship Id="rId8" Type="http://schemas.openxmlformats.org/officeDocument/2006/relationships/hyperlink" Target="https://www.gem.wiki/Balikpapan_Refinery_power_plant" TargetMode="External"/><Relationship Id="rId144" Type="http://schemas.openxmlformats.org/officeDocument/2006/relationships/hyperlink" Target="https://www.gem.wiki/Vpower_Palembang_power_station" TargetMode="External"/><Relationship Id="rId73" Type="http://schemas.openxmlformats.org/officeDocument/2006/relationships/hyperlink" Target="https://www.gem.wiki/Krakatau_power_station" TargetMode="External"/><Relationship Id="rId72" Type="http://schemas.openxmlformats.org/officeDocument/2006/relationships/hyperlink" Target="https://www.gem.wiki/Keramasan_PLN_power_station" TargetMode="External"/><Relationship Id="rId75" Type="http://schemas.openxmlformats.org/officeDocument/2006/relationships/hyperlink" Target="https://www.gem.wiki/Lampung_Peaker_power_station" TargetMode="External"/><Relationship Id="rId74" Type="http://schemas.openxmlformats.org/officeDocument/2006/relationships/hyperlink" Target="https://www.gem.wiki/Krakatau_power_station" TargetMode="External"/><Relationship Id="rId77" Type="http://schemas.openxmlformats.org/officeDocument/2006/relationships/hyperlink" Target="https://www.gem.wiki/Lueng_Bata_power_station" TargetMode="External"/><Relationship Id="rId76" Type="http://schemas.openxmlformats.org/officeDocument/2006/relationships/hyperlink" Target="https://www.gem.wiki/Lombok_Peaker_power_station" TargetMode="External"/><Relationship Id="rId79" Type="http://schemas.openxmlformats.org/officeDocument/2006/relationships/hyperlink" Target="https://www.gem.wiki/Madura_PTBA_power_station" TargetMode="External"/><Relationship Id="rId78" Type="http://schemas.openxmlformats.org/officeDocument/2006/relationships/hyperlink" Target="https://www.gem.wiki/Luwuk_power_station" TargetMode="External"/><Relationship Id="rId71" Type="http://schemas.openxmlformats.org/officeDocument/2006/relationships/hyperlink" Target="https://www.gem.wiki/Keramasan_Asta_power_station" TargetMode="External"/><Relationship Id="rId70" Type="http://schemas.openxmlformats.org/officeDocument/2006/relationships/hyperlink" Target="https://www.gem.wiki/Karpowership_(Indonesia)_Zeynep_Sultan_power_station" TargetMode="External"/><Relationship Id="rId139" Type="http://schemas.openxmlformats.org/officeDocument/2006/relationships/hyperlink" Target="https://www.gem.wiki/Tanjung_Priok_power_station" TargetMode="External"/><Relationship Id="rId138" Type="http://schemas.openxmlformats.org/officeDocument/2006/relationships/hyperlink" Target="https://www.gem.wiki/Tanjung_Priok_power_station" TargetMode="External"/><Relationship Id="rId137" Type="http://schemas.openxmlformats.org/officeDocument/2006/relationships/hyperlink" Target="https://www.gem.wiki/Tanjung_Batu_power_station" TargetMode="External"/><Relationship Id="rId132" Type="http://schemas.openxmlformats.org/officeDocument/2006/relationships/hyperlink" Target="https://www.gem.wiki/Tambak_Lorok_power_station" TargetMode="External"/><Relationship Id="rId131" Type="http://schemas.openxmlformats.org/officeDocument/2006/relationships/hyperlink" Target="https://www.gem.wiki/Tambak_Lorok_power_station" TargetMode="External"/><Relationship Id="rId130" Type="http://schemas.openxmlformats.org/officeDocument/2006/relationships/hyperlink" Target="https://www.gem.wiki/Sungai_Gelam_power_station" TargetMode="External"/><Relationship Id="rId136" Type="http://schemas.openxmlformats.org/officeDocument/2006/relationships/hyperlink" Target="https://www.gem.wiki/Tambak_Lorok_power_station" TargetMode="External"/><Relationship Id="rId135" Type="http://schemas.openxmlformats.org/officeDocument/2006/relationships/hyperlink" Target="https://www.gem.wiki/Tambak_Lorok_power_station" TargetMode="External"/><Relationship Id="rId134" Type="http://schemas.openxmlformats.org/officeDocument/2006/relationships/hyperlink" Target="https://www.gem.wiki/Tambak_Lorok_power_station" TargetMode="External"/><Relationship Id="rId133" Type="http://schemas.openxmlformats.org/officeDocument/2006/relationships/hyperlink" Target="https://www.gem.wiki/Tambak_Lorok_power_station" TargetMode="External"/><Relationship Id="rId62" Type="http://schemas.openxmlformats.org/officeDocument/2006/relationships/hyperlink" Target="https://www.gem.wiki/Kalbar-2_power_station" TargetMode="External"/><Relationship Id="rId61" Type="http://schemas.openxmlformats.org/officeDocument/2006/relationships/hyperlink" Target="https://www.gem.wiki/Jayapura_power_station" TargetMode="External"/><Relationship Id="rId64" Type="http://schemas.openxmlformats.org/officeDocument/2006/relationships/hyperlink" Target="https://www.gem.wiki/Kaltim_power_station" TargetMode="External"/><Relationship Id="rId63" Type="http://schemas.openxmlformats.org/officeDocument/2006/relationships/hyperlink" Target="https://www.gem.wiki/Kalsel_1_power_station" TargetMode="External"/><Relationship Id="rId66" Type="http://schemas.openxmlformats.org/officeDocument/2006/relationships/hyperlink" Target="https://www.gem.wiki/Kaltim_power_station" TargetMode="External"/><Relationship Id="rId65" Type="http://schemas.openxmlformats.org/officeDocument/2006/relationships/hyperlink" Target="https://www.gem.wiki/Kaltim_power_station" TargetMode="External"/><Relationship Id="rId68" Type="http://schemas.openxmlformats.org/officeDocument/2006/relationships/hyperlink" Target="https://www.gem.wiki/Kaltim_power_station" TargetMode="External"/><Relationship Id="rId67" Type="http://schemas.openxmlformats.org/officeDocument/2006/relationships/hyperlink" Target="https://www.gem.wiki/Kaltim_power_station" TargetMode="External"/><Relationship Id="rId60" Type="http://schemas.openxmlformats.org/officeDocument/2006/relationships/hyperlink" Target="https://www.gem.wiki/Jawa-3_Combined_Cycle_power_station" TargetMode="External"/><Relationship Id="rId69" Type="http://schemas.openxmlformats.org/officeDocument/2006/relationships/hyperlink" Target="https://www.gem.wiki/Karpowership_(Indonesia)_Onur_Sultan_power_station" TargetMode="External"/><Relationship Id="rId51" Type="http://schemas.openxmlformats.org/officeDocument/2006/relationships/hyperlink" Target="https://www.gem.wiki/Gresik_power_station" TargetMode="External"/><Relationship Id="rId50" Type="http://schemas.openxmlformats.org/officeDocument/2006/relationships/hyperlink" Target="https://www.gem.wiki/Gresik_power_station" TargetMode="External"/><Relationship Id="rId53" Type="http://schemas.openxmlformats.org/officeDocument/2006/relationships/hyperlink" Target="https://www.gem.wiki/Gresik_power_station" TargetMode="External"/><Relationship Id="rId52" Type="http://schemas.openxmlformats.org/officeDocument/2006/relationships/hyperlink" Target="https://www.gem.wiki/Gresik_power_station" TargetMode="External"/><Relationship Id="rId55" Type="http://schemas.openxmlformats.org/officeDocument/2006/relationships/hyperlink" Target="https://www.gem.wiki/Gresik_power_station" TargetMode="External"/><Relationship Id="rId54" Type="http://schemas.openxmlformats.org/officeDocument/2006/relationships/hyperlink" Target="https://www.gem.wiki/Gresik_power_station" TargetMode="External"/><Relationship Id="rId57" Type="http://schemas.openxmlformats.org/officeDocument/2006/relationships/hyperlink" Target="https://www.gem.wiki/Indralaya_power_station" TargetMode="External"/><Relationship Id="rId56" Type="http://schemas.openxmlformats.org/officeDocument/2006/relationships/hyperlink" Target="https://www.gem.wiki/Gunung_Megang_power_station" TargetMode="External"/><Relationship Id="rId59" Type="http://schemas.openxmlformats.org/officeDocument/2006/relationships/hyperlink" Target="https://www.gem.wiki/Jababeka_Industrial_Estate_power_station" TargetMode="External"/><Relationship Id="rId58" Type="http://schemas.openxmlformats.org/officeDocument/2006/relationships/hyperlink" Target="https://www.gem.wiki/Jababeka_Industrial_Estate_power_station" TargetMode="External"/><Relationship Id="rId107" Type="http://schemas.openxmlformats.org/officeDocument/2006/relationships/hyperlink" Target="https://www.gem.wiki/Perak_power_station" TargetMode="External"/><Relationship Id="rId106" Type="http://schemas.openxmlformats.org/officeDocument/2006/relationships/hyperlink" Target="https://www.gem.wiki/Perak_power_station" TargetMode="External"/><Relationship Id="rId105" Type="http://schemas.openxmlformats.org/officeDocument/2006/relationships/hyperlink" Target="https://www.gem.wiki/Payo_Selincah_power_station" TargetMode="External"/><Relationship Id="rId104" Type="http://schemas.openxmlformats.org/officeDocument/2006/relationships/hyperlink" Target="https://www.gem.wiki/Payo_Selincah_power_station" TargetMode="External"/><Relationship Id="rId109" Type="http://schemas.openxmlformats.org/officeDocument/2006/relationships/hyperlink" Target="https://www.gem.wiki/Pesanggaran_power_station" TargetMode="External"/><Relationship Id="rId108" Type="http://schemas.openxmlformats.org/officeDocument/2006/relationships/hyperlink" Target="https://www.gem.wiki/Perak_power_station" TargetMode="External"/><Relationship Id="rId103" Type="http://schemas.openxmlformats.org/officeDocument/2006/relationships/hyperlink" Target="https://www.gem.wiki/Panaran_power_station" TargetMode="External"/><Relationship Id="rId102" Type="http://schemas.openxmlformats.org/officeDocument/2006/relationships/hyperlink" Target="https://www.gem.wiki/Panaran_power_station" TargetMode="External"/><Relationship Id="rId101" Type="http://schemas.openxmlformats.org/officeDocument/2006/relationships/hyperlink" Target="https://www.gem.wiki/Palembang_Timur_power_station" TargetMode="External"/><Relationship Id="rId100" Type="http://schemas.openxmlformats.org/officeDocument/2006/relationships/hyperlink" Target="https://www.gem.wiki/North_Duri_cogeneration_power_station" TargetMode="External"/><Relationship Id="rId129" Type="http://schemas.openxmlformats.org/officeDocument/2006/relationships/hyperlink" Target="https://www.gem.wiki/Sumbawa-1_power_station" TargetMode="External"/><Relationship Id="rId128" Type="http://schemas.openxmlformats.org/officeDocument/2006/relationships/hyperlink" Target="https://www.gem.wiki/Sumbagut_Gas_and_Steam_power_station" TargetMode="External"/><Relationship Id="rId127" Type="http://schemas.openxmlformats.org/officeDocument/2006/relationships/hyperlink" Target="https://www.gem.wiki/Sumbagut_Gas_and_Steam_power_station" TargetMode="External"/><Relationship Id="rId126" Type="http://schemas.openxmlformats.org/officeDocument/2006/relationships/hyperlink" Target="https://www.gem.wiki/Sumbagut_Gas_and_Steam_power_station" TargetMode="External"/><Relationship Id="rId121" Type="http://schemas.openxmlformats.org/officeDocument/2006/relationships/hyperlink" Target="https://www.gem.wiki/Sujiawumei_LNG_power_station" TargetMode="External"/><Relationship Id="rId120" Type="http://schemas.openxmlformats.org/officeDocument/2006/relationships/hyperlink" Target="https://www.gem.wiki/Soekarno-Hatta_Airport_power_station" TargetMode="External"/><Relationship Id="rId125" Type="http://schemas.openxmlformats.org/officeDocument/2006/relationships/hyperlink" Target="https://www.gem.wiki/Sulsel_power_station" TargetMode="External"/><Relationship Id="rId124" Type="http://schemas.openxmlformats.org/officeDocument/2006/relationships/hyperlink" Target="https://www.gem.wiki/Sulbagut_1_Combined_Cycle_power_station" TargetMode="External"/><Relationship Id="rId123" Type="http://schemas.openxmlformats.org/officeDocument/2006/relationships/hyperlink" Target="https://www.gem.wiki/Sujiawumei_LNG_power_station" TargetMode="External"/><Relationship Id="rId122" Type="http://schemas.openxmlformats.org/officeDocument/2006/relationships/hyperlink" Target="https://www.gem.wiki/Sujiawumei_LNG_power_station" TargetMode="External"/><Relationship Id="rId95" Type="http://schemas.openxmlformats.org/officeDocument/2006/relationships/hyperlink" Target="https://www.gem.wiki/Muara_Tawar_power_station" TargetMode="External"/><Relationship Id="rId94" Type="http://schemas.openxmlformats.org/officeDocument/2006/relationships/hyperlink" Target="https://www.gem.wiki/Muara_Tawar_power_station" TargetMode="External"/><Relationship Id="rId97" Type="http://schemas.openxmlformats.org/officeDocument/2006/relationships/hyperlink" Target="https://www.gem.wiki/Muara_Tawar_power_station" TargetMode="External"/><Relationship Id="rId96" Type="http://schemas.openxmlformats.org/officeDocument/2006/relationships/hyperlink" Target="https://www.gem.wiki/Muara_Tawar_power_station" TargetMode="External"/><Relationship Id="rId99" Type="http://schemas.openxmlformats.org/officeDocument/2006/relationships/hyperlink" Target="https://www.gem.wiki/North_Duri_cogeneration_power_station" TargetMode="External"/><Relationship Id="rId98" Type="http://schemas.openxmlformats.org/officeDocument/2006/relationships/hyperlink" Target="https://www.gem.wiki/North_Duri_cogeneration_power_station" TargetMode="External"/><Relationship Id="rId91" Type="http://schemas.openxmlformats.org/officeDocument/2006/relationships/hyperlink" Target="https://www.gem.wiki/Muara_Tawar_power_station" TargetMode="External"/><Relationship Id="rId90" Type="http://schemas.openxmlformats.org/officeDocument/2006/relationships/hyperlink" Target="https://www.gem.wiki/Muara_Tawar_power_station" TargetMode="External"/><Relationship Id="rId93" Type="http://schemas.openxmlformats.org/officeDocument/2006/relationships/hyperlink" Target="https://www.gem.wiki/Muara_Tawar_power_station" TargetMode="External"/><Relationship Id="rId92" Type="http://schemas.openxmlformats.org/officeDocument/2006/relationships/hyperlink" Target="https://www.gem.wiki/Muara_Tawar_power_station" TargetMode="External"/><Relationship Id="rId118" Type="http://schemas.openxmlformats.org/officeDocument/2006/relationships/hyperlink" Target="https://www.gem.wiki/Sengkang_power_station" TargetMode="External"/><Relationship Id="rId117" Type="http://schemas.openxmlformats.org/officeDocument/2006/relationships/hyperlink" Target="https://www.gem.wiki/Sengkang_power_station" TargetMode="External"/><Relationship Id="rId116" Type="http://schemas.openxmlformats.org/officeDocument/2006/relationships/hyperlink" Target="https://www.gem.wiki/Rokan_Block_power_station" TargetMode="External"/><Relationship Id="rId115" Type="http://schemas.openxmlformats.org/officeDocument/2006/relationships/hyperlink" Target="https://www.gem.wiki/Riau_Peaker_power_station" TargetMode="External"/><Relationship Id="rId119" Type="http://schemas.openxmlformats.org/officeDocument/2006/relationships/hyperlink" Target="https://www.gem.wiki/Senipah_power_station" TargetMode="External"/><Relationship Id="rId110" Type="http://schemas.openxmlformats.org/officeDocument/2006/relationships/hyperlink" Target="https://www.gem.wiki/Pindo-Deli-Ii_power_station" TargetMode="External"/><Relationship Id="rId114" Type="http://schemas.openxmlformats.org/officeDocument/2006/relationships/hyperlink" Target="https://www.gem.wiki/Riau_2_power_station" TargetMode="External"/><Relationship Id="rId113" Type="http://schemas.openxmlformats.org/officeDocument/2006/relationships/hyperlink" Target="https://www.gem.wiki/Riau_(MRPR)_power_station" TargetMode="External"/><Relationship Id="rId112" Type="http://schemas.openxmlformats.org/officeDocument/2006/relationships/hyperlink" Target="https://www.gem.wiki/PLTGU_Jawa-1_power_station" TargetMode="External"/><Relationship Id="rId111" Type="http://schemas.openxmlformats.org/officeDocument/2006/relationships/hyperlink" Target="https://www.gem.wiki/PLTGU_Jawa-1_power_station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q=https://www.plnnpc.com/?p%3D5591&amp;sa=D&amp;source=editors&amp;ust=1763605879088946&amp;usg=AOvVaw0mptUYeREOxJO5KzcemxeD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3" max="3" width="16.25"/>
    <col customWidth="1" min="4" max="4" width="32.5"/>
    <col customWidth="1" min="5" max="5" width="10.38"/>
    <col customWidth="1" min="6" max="6" width="13.5"/>
    <col customWidth="1" min="10" max="10" width="9.0"/>
    <col customWidth="1" min="11" max="11" width="12.0"/>
    <col customWidth="1" min="14" max="14" width="25.25"/>
    <col customWidth="1" min="19" max="19" width="46.25"/>
    <col customWidth="1" min="20" max="20" width="41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1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9" t="s">
        <v>28</v>
      </c>
      <c r="AD1" s="9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2"/>
      <c r="AQ1" s="12"/>
      <c r="AR1" s="12"/>
      <c r="AS1" s="12"/>
      <c r="AT1" s="12"/>
    </row>
    <row r="2">
      <c r="A2" s="14" t="s">
        <v>41</v>
      </c>
      <c r="B2" s="15" t="s">
        <v>42</v>
      </c>
      <c r="C2" s="16" t="s">
        <v>43</v>
      </c>
      <c r="D2" s="17" t="s">
        <v>44</v>
      </c>
      <c r="E2" s="18">
        <v>50.0</v>
      </c>
      <c r="F2" s="15" t="s">
        <v>45</v>
      </c>
      <c r="G2" s="18">
        <v>2027.0</v>
      </c>
      <c r="J2" s="15"/>
      <c r="K2" s="15">
        <v>-2.60839</v>
      </c>
      <c r="L2" s="15">
        <v>140.807479</v>
      </c>
      <c r="M2" s="15" t="s">
        <v>46</v>
      </c>
      <c r="N2" s="15" t="s">
        <v>47</v>
      </c>
      <c r="O2" s="19" t="s">
        <v>48</v>
      </c>
      <c r="P2" s="15"/>
      <c r="Q2" s="15"/>
      <c r="R2" s="19" t="s">
        <v>49</v>
      </c>
      <c r="S2" s="15" t="s">
        <v>50</v>
      </c>
      <c r="T2" s="20" t="s">
        <v>51</v>
      </c>
      <c r="U2" s="15" t="s">
        <v>52</v>
      </c>
      <c r="V2" s="15"/>
      <c r="W2" s="15"/>
      <c r="X2" s="15"/>
      <c r="Y2" s="15"/>
      <c r="Z2" s="15"/>
      <c r="AA2" s="15"/>
      <c r="AB2" s="18"/>
      <c r="AC2" s="18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9" t="s">
        <v>53</v>
      </c>
      <c r="AO2" s="15"/>
    </row>
    <row r="3">
      <c r="A3" s="14" t="s">
        <v>54</v>
      </c>
      <c r="B3" s="15" t="s">
        <v>55</v>
      </c>
      <c r="C3" s="16" t="s">
        <v>56</v>
      </c>
      <c r="D3" s="17" t="s">
        <v>57</v>
      </c>
      <c r="E3" s="18">
        <v>50.0</v>
      </c>
      <c r="F3" s="15" t="s">
        <v>45</v>
      </c>
      <c r="G3" s="18">
        <v>2034.0</v>
      </c>
      <c r="J3" s="15"/>
      <c r="K3" s="15">
        <v>-2.60839</v>
      </c>
      <c r="L3" s="15">
        <v>140.807479</v>
      </c>
      <c r="M3" s="15" t="s">
        <v>46</v>
      </c>
      <c r="N3" s="15" t="s">
        <v>47</v>
      </c>
      <c r="O3" s="19" t="s">
        <v>48</v>
      </c>
      <c r="P3" s="15"/>
      <c r="Q3" s="15"/>
      <c r="R3" s="19" t="s">
        <v>49</v>
      </c>
      <c r="S3" s="15" t="s">
        <v>50</v>
      </c>
      <c r="T3" s="20" t="s">
        <v>51</v>
      </c>
      <c r="U3" s="15" t="s">
        <v>52</v>
      </c>
      <c r="V3" s="15"/>
      <c r="W3" s="15"/>
      <c r="X3" s="15"/>
      <c r="Y3" s="15"/>
      <c r="Z3" s="15"/>
      <c r="AA3" s="15"/>
      <c r="AB3" s="18"/>
      <c r="AC3" s="18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9" t="s">
        <v>53</v>
      </c>
      <c r="AO3" s="15"/>
    </row>
    <row r="4">
      <c r="A4" s="14" t="s">
        <v>58</v>
      </c>
      <c r="B4" s="15" t="s">
        <v>59</v>
      </c>
      <c r="C4" s="16" t="s">
        <v>60</v>
      </c>
      <c r="D4" s="17" t="s">
        <v>61</v>
      </c>
      <c r="E4" s="18">
        <v>50.0</v>
      </c>
      <c r="F4" s="15" t="s">
        <v>45</v>
      </c>
      <c r="G4" s="18">
        <v>2026.0</v>
      </c>
      <c r="J4" s="15"/>
      <c r="K4" s="15">
        <v>-2.616361</v>
      </c>
      <c r="L4" s="15">
        <v>140.789297</v>
      </c>
      <c r="M4" s="15" t="s">
        <v>46</v>
      </c>
      <c r="N4" s="15" t="s">
        <v>47</v>
      </c>
      <c r="O4" s="19" t="s">
        <v>48</v>
      </c>
      <c r="P4" s="15"/>
      <c r="Q4" s="15"/>
      <c r="R4" s="21" t="s">
        <v>62</v>
      </c>
      <c r="S4" s="15" t="s">
        <v>50</v>
      </c>
      <c r="T4" s="20" t="s">
        <v>51</v>
      </c>
      <c r="U4" s="15" t="s">
        <v>63</v>
      </c>
      <c r="V4" s="15"/>
      <c r="W4" s="15"/>
      <c r="X4" s="15"/>
      <c r="Y4" s="15"/>
      <c r="Z4" s="15"/>
      <c r="AA4" s="15"/>
      <c r="AB4" s="18"/>
      <c r="AC4" s="18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9" t="s">
        <v>53</v>
      </c>
      <c r="AO4" s="15"/>
    </row>
    <row r="5">
      <c r="A5" s="15" t="s">
        <v>64</v>
      </c>
      <c r="B5" s="15" t="s">
        <v>65</v>
      </c>
      <c r="C5" s="16" t="s">
        <v>66</v>
      </c>
      <c r="D5" s="17" t="s">
        <v>67</v>
      </c>
      <c r="E5" s="18">
        <v>50.0</v>
      </c>
      <c r="F5" s="15" t="s">
        <v>45</v>
      </c>
      <c r="G5" s="18">
        <v>2027.0</v>
      </c>
      <c r="J5" s="15"/>
      <c r="K5" s="15">
        <v>1.657387</v>
      </c>
      <c r="L5" s="15">
        <v>125.088874</v>
      </c>
      <c r="M5" s="15"/>
      <c r="N5" s="19" t="s">
        <v>68</v>
      </c>
      <c r="O5" s="19" t="s">
        <v>48</v>
      </c>
      <c r="P5" s="15"/>
      <c r="Q5" s="15"/>
      <c r="R5" s="21" t="s">
        <v>49</v>
      </c>
      <c r="S5" s="15" t="s">
        <v>69</v>
      </c>
      <c r="T5" s="22" t="s">
        <v>69</v>
      </c>
      <c r="U5" s="21" t="s">
        <v>70</v>
      </c>
      <c r="V5" s="15"/>
      <c r="W5" s="15"/>
      <c r="X5" s="15"/>
      <c r="Y5" s="15"/>
      <c r="Z5" s="15"/>
      <c r="AA5" s="15"/>
      <c r="AB5" s="18"/>
      <c r="AC5" s="18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9" t="s">
        <v>53</v>
      </c>
      <c r="AO5" s="15"/>
    </row>
    <row r="6">
      <c r="A6" s="15" t="s">
        <v>71</v>
      </c>
      <c r="B6" s="15" t="s">
        <v>72</v>
      </c>
      <c r="C6" s="16" t="s">
        <v>73</v>
      </c>
      <c r="D6" s="17" t="s">
        <v>74</v>
      </c>
      <c r="E6" s="18">
        <v>50.0</v>
      </c>
      <c r="F6" s="15" t="s">
        <v>45</v>
      </c>
      <c r="G6" s="18">
        <v>2026.0</v>
      </c>
      <c r="J6" s="15"/>
      <c r="K6" s="15"/>
      <c r="L6" s="15"/>
      <c r="M6" s="15"/>
      <c r="N6" s="19" t="s">
        <v>75</v>
      </c>
      <c r="O6" s="19" t="s">
        <v>48</v>
      </c>
      <c r="P6" s="15"/>
      <c r="Q6" s="15"/>
      <c r="R6" s="15"/>
      <c r="S6" s="15"/>
      <c r="U6" s="15"/>
      <c r="V6" s="18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9" t="s">
        <v>53</v>
      </c>
      <c r="AO6" s="15"/>
    </row>
    <row r="7">
      <c r="A7" s="21" t="s">
        <v>76</v>
      </c>
      <c r="B7" s="21" t="s">
        <v>77</v>
      </c>
      <c r="C7" s="23" t="s">
        <v>78</v>
      </c>
      <c r="D7" s="24" t="s">
        <v>79</v>
      </c>
      <c r="E7" s="18">
        <v>100.0</v>
      </c>
      <c r="F7" s="15" t="s">
        <v>45</v>
      </c>
      <c r="G7" s="25">
        <v>2027.0</v>
      </c>
      <c r="K7" s="14">
        <v>-2.737592</v>
      </c>
      <c r="L7" s="14">
        <v>114.738025</v>
      </c>
      <c r="M7" s="14" t="s">
        <v>80</v>
      </c>
      <c r="N7" s="14" t="s">
        <v>81</v>
      </c>
      <c r="O7" s="21" t="s">
        <v>48</v>
      </c>
      <c r="R7" s="14" t="s">
        <v>49</v>
      </c>
      <c r="S7" s="14" t="s">
        <v>50</v>
      </c>
      <c r="T7" s="20" t="s">
        <v>51</v>
      </c>
      <c r="U7" s="21" t="s">
        <v>70</v>
      </c>
      <c r="AL7" s="21"/>
      <c r="AM7" s="21" t="s">
        <v>53</v>
      </c>
    </row>
    <row r="8">
      <c r="A8" s="21" t="s">
        <v>82</v>
      </c>
      <c r="B8" s="21" t="s">
        <v>83</v>
      </c>
      <c r="C8" s="23" t="s">
        <v>84</v>
      </c>
      <c r="D8" s="24" t="s">
        <v>85</v>
      </c>
      <c r="E8" s="18">
        <v>120.0</v>
      </c>
      <c r="F8" s="15" t="s">
        <v>45</v>
      </c>
      <c r="G8" s="14" t="s">
        <v>80</v>
      </c>
      <c r="K8" s="14">
        <v>-5.9924</v>
      </c>
      <c r="L8" s="14">
        <v>105.9849</v>
      </c>
      <c r="M8" s="14" t="s">
        <v>86</v>
      </c>
      <c r="N8" s="14" t="s">
        <v>87</v>
      </c>
      <c r="O8" s="21" t="s">
        <v>88</v>
      </c>
      <c r="R8" s="14" t="s">
        <v>62</v>
      </c>
      <c r="S8" s="14" t="s">
        <v>89</v>
      </c>
      <c r="T8" s="20" t="s">
        <v>90</v>
      </c>
      <c r="U8" s="21" t="s">
        <v>70</v>
      </c>
      <c r="AL8" s="21"/>
      <c r="AM8" s="21" t="s">
        <v>53</v>
      </c>
    </row>
    <row r="9">
      <c r="A9" s="21" t="s">
        <v>91</v>
      </c>
      <c r="B9" s="21" t="s">
        <v>92</v>
      </c>
      <c r="C9" s="23" t="s">
        <v>93</v>
      </c>
      <c r="D9" s="24" t="s">
        <v>94</v>
      </c>
      <c r="E9" s="18">
        <v>200.0</v>
      </c>
      <c r="F9" s="15" t="s">
        <v>45</v>
      </c>
      <c r="G9" s="14">
        <v>2030.0</v>
      </c>
      <c r="K9" s="14">
        <v>3.760031</v>
      </c>
      <c r="L9" s="14">
        <v>98.745965</v>
      </c>
      <c r="M9" s="14" t="s">
        <v>95</v>
      </c>
      <c r="N9" s="14" t="s">
        <v>96</v>
      </c>
      <c r="O9" s="21" t="s">
        <v>48</v>
      </c>
      <c r="R9" s="14" t="s">
        <v>62</v>
      </c>
      <c r="S9" s="14" t="s">
        <v>97</v>
      </c>
      <c r="T9" s="20" t="s">
        <v>51</v>
      </c>
      <c r="U9" s="21" t="s">
        <v>70</v>
      </c>
      <c r="AL9" s="21"/>
      <c r="AM9" s="21" t="s">
        <v>53</v>
      </c>
    </row>
    <row r="10">
      <c r="A10" s="21" t="s">
        <v>98</v>
      </c>
      <c r="B10" s="21" t="s">
        <v>99</v>
      </c>
      <c r="C10" s="23" t="s">
        <v>100</v>
      </c>
      <c r="D10" s="24" t="s">
        <v>101</v>
      </c>
      <c r="E10" s="18">
        <v>300.0</v>
      </c>
      <c r="F10" s="15" t="s">
        <v>45</v>
      </c>
      <c r="G10" s="14">
        <v>2025.0</v>
      </c>
      <c r="K10" s="14">
        <v>-7.077733</v>
      </c>
      <c r="L10" s="14">
        <v>113.287085</v>
      </c>
      <c r="M10" s="14" t="s">
        <v>102</v>
      </c>
      <c r="N10" s="14" t="s">
        <v>103</v>
      </c>
      <c r="O10" s="21" t="s">
        <v>48</v>
      </c>
      <c r="R10" s="14" t="s">
        <v>62</v>
      </c>
      <c r="S10" s="14" t="s">
        <v>50</v>
      </c>
      <c r="T10" s="20" t="s">
        <v>51</v>
      </c>
      <c r="U10" s="21" t="s">
        <v>70</v>
      </c>
      <c r="AL10" s="21"/>
      <c r="AM10" s="21" t="s">
        <v>53</v>
      </c>
    </row>
    <row r="11">
      <c r="A11" s="21" t="s">
        <v>91</v>
      </c>
      <c r="B11" s="21" t="s">
        <v>104</v>
      </c>
      <c r="C11" s="23" t="s">
        <v>93</v>
      </c>
      <c r="D11" s="24" t="s">
        <v>94</v>
      </c>
      <c r="E11" s="18">
        <v>300.0</v>
      </c>
      <c r="F11" s="15" t="s">
        <v>45</v>
      </c>
      <c r="G11" s="14">
        <v>2030.0</v>
      </c>
      <c r="K11" s="14">
        <v>3.760031</v>
      </c>
      <c r="L11" s="14">
        <v>98.745965</v>
      </c>
      <c r="M11" s="14" t="s">
        <v>95</v>
      </c>
      <c r="N11" s="14" t="s">
        <v>96</v>
      </c>
      <c r="O11" s="21" t="s">
        <v>48</v>
      </c>
      <c r="R11" s="14" t="s">
        <v>62</v>
      </c>
      <c r="S11" s="14" t="s">
        <v>97</v>
      </c>
      <c r="T11" s="20" t="s">
        <v>51</v>
      </c>
      <c r="U11" s="21" t="s">
        <v>70</v>
      </c>
      <c r="AL11" s="21"/>
      <c r="AM11" s="21" t="s">
        <v>53</v>
      </c>
    </row>
    <row r="12">
      <c r="A12" s="21" t="s">
        <v>91</v>
      </c>
      <c r="B12" s="21" t="s">
        <v>105</v>
      </c>
      <c r="C12" s="23" t="s">
        <v>93</v>
      </c>
      <c r="D12" s="24" t="s">
        <v>94</v>
      </c>
      <c r="E12" s="18">
        <v>300.0</v>
      </c>
      <c r="F12" s="15" t="s">
        <v>45</v>
      </c>
      <c r="G12" s="14">
        <v>2030.0</v>
      </c>
      <c r="K12" s="14">
        <v>3.760031</v>
      </c>
      <c r="L12" s="14">
        <v>98.745965</v>
      </c>
      <c r="M12" s="14" t="s">
        <v>95</v>
      </c>
      <c r="N12" s="14" t="s">
        <v>96</v>
      </c>
      <c r="O12" s="21" t="s">
        <v>48</v>
      </c>
      <c r="R12" s="14" t="s">
        <v>62</v>
      </c>
      <c r="S12" s="14" t="s">
        <v>97</v>
      </c>
      <c r="T12" s="20" t="s">
        <v>51</v>
      </c>
      <c r="U12" s="21" t="s">
        <v>70</v>
      </c>
      <c r="AL12" s="21"/>
      <c r="AM12" s="21" t="s">
        <v>53</v>
      </c>
    </row>
    <row r="13">
      <c r="A13" s="21" t="s">
        <v>106</v>
      </c>
      <c r="B13" s="21" t="s">
        <v>107</v>
      </c>
      <c r="C13" s="23" t="s">
        <v>108</v>
      </c>
      <c r="D13" s="24" t="s">
        <v>109</v>
      </c>
      <c r="E13" s="18">
        <v>800.0</v>
      </c>
      <c r="F13" s="15" t="s">
        <v>45</v>
      </c>
      <c r="G13" s="14" t="s">
        <v>80</v>
      </c>
      <c r="K13" s="14">
        <v>3.285553</v>
      </c>
      <c r="L13" s="14">
        <v>99.508176</v>
      </c>
      <c r="M13" s="14" t="s">
        <v>110</v>
      </c>
      <c r="N13" s="14" t="s">
        <v>96</v>
      </c>
      <c r="O13" s="21" t="s">
        <v>88</v>
      </c>
      <c r="R13" s="14" t="s">
        <v>62</v>
      </c>
      <c r="S13" s="14" t="s">
        <v>111</v>
      </c>
      <c r="T13" s="20" t="s">
        <v>112</v>
      </c>
      <c r="U13" s="21" t="s">
        <v>70</v>
      </c>
      <c r="AL13" s="21"/>
      <c r="AM13" s="21" t="s">
        <v>53</v>
      </c>
    </row>
    <row r="14">
      <c r="A14" s="21" t="s">
        <v>113</v>
      </c>
      <c r="B14" s="21" t="s">
        <v>114</v>
      </c>
      <c r="C14" s="23" t="s">
        <v>115</v>
      </c>
      <c r="D14" s="24" t="s">
        <v>116</v>
      </c>
      <c r="E14" s="18">
        <v>800.0</v>
      </c>
      <c r="F14" s="15" t="s">
        <v>45</v>
      </c>
      <c r="G14" s="14">
        <v>2027.0</v>
      </c>
      <c r="K14" s="14">
        <v>-7.109509</v>
      </c>
      <c r="L14" s="14">
        <v>112.621681</v>
      </c>
      <c r="M14" s="14" t="s">
        <v>80</v>
      </c>
      <c r="N14" s="14" t="s">
        <v>103</v>
      </c>
      <c r="O14" s="21" t="s">
        <v>48</v>
      </c>
      <c r="R14" s="14" t="s">
        <v>62</v>
      </c>
      <c r="S14" s="14" t="s">
        <v>97</v>
      </c>
      <c r="T14" s="20" t="s">
        <v>51</v>
      </c>
      <c r="U14" s="21" t="s">
        <v>70</v>
      </c>
      <c r="AL14" s="21"/>
      <c r="AM14" s="21" t="s">
        <v>53</v>
      </c>
    </row>
    <row r="15">
      <c r="D15" s="24" t="s">
        <v>117</v>
      </c>
      <c r="E15" s="18">
        <v>-55.0</v>
      </c>
      <c r="F15" s="21" t="s">
        <v>118</v>
      </c>
      <c r="G15" s="14">
        <f t="shared" ref="G15:G16" si="1">H15</f>
        <v>2028</v>
      </c>
      <c r="H15" s="26">
        <v>2028.0</v>
      </c>
      <c r="I15" s="15"/>
      <c r="J15" s="21" t="s">
        <v>119</v>
      </c>
      <c r="K15" s="14">
        <f>vlookup(D15,'upcoming, not in GEM'!A:D,3,false)</f>
        <v>0</v>
      </c>
      <c r="L15" s="14">
        <f>vlookup(D15,'upcoming, not in GEM'!A:D,4,false)</f>
        <v>111</v>
      </c>
      <c r="N15" s="14" t="str">
        <f>vlookup(D15,'upcoming, not in GEM'!A:B,2,false)</f>
        <v>West Kalimantan</v>
      </c>
      <c r="O15" s="19" t="s">
        <v>48</v>
      </c>
      <c r="T15" s="20"/>
      <c r="AL15" s="19" t="s">
        <v>53</v>
      </c>
    </row>
    <row r="16">
      <c r="D16" s="24" t="s">
        <v>117</v>
      </c>
      <c r="E16" s="18">
        <v>-50.0</v>
      </c>
      <c r="F16" s="21" t="s">
        <v>118</v>
      </c>
      <c r="G16" s="14">
        <f t="shared" si="1"/>
        <v>2027</v>
      </c>
      <c r="H16" s="26">
        <v>2027.0</v>
      </c>
      <c r="I16" s="15"/>
      <c r="J16" s="21" t="s">
        <v>119</v>
      </c>
      <c r="K16" s="14">
        <f>vlookup(D16,'upcoming, not in GEM'!A:D,3,false)</f>
        <v>0</v>
      </c>
      <c r="L16" s="14">
        <f>vlookup(D16,'upcoming, not in GEM'!A:D,4,false)</f>
        <v>111</v>
      </c>
      <c r="N16" s="14" t="str">
        <f>vlookup(D16,'upcoming, not in GEM'!A:B,2,false)</f>
        <v>West Kalimantan</v>
      </c>
      <c r="O16" s="19" t="s">
        <v>48</v>
      </c>
      <c r="T16" s="20"/>
      <c r="AL16" s="19" t="s">
        <v>53</v>
      </c>
    </row>
    <row r="17">
      <c r="D17" s="24" t="s">
        <v>117</v>
      </c>
      <c r="E17" s="18">
        <v>-50.0</v>
      </c>
      <c r="F17" s="21" t="s">
        <v>118</v>
      </c>
      <c r="G17" s="14">
        <f t="shared" ref="G17:G37" si="2">I17</f>
        <v>2028</v>
      </c>
      <c r="H17" s="15"/>
      <c r="I17" s="26">
        <v>2028.0</v>
      </c>
      <c r="J17" s="21" t="s">
        <v>119</v>
      </c>
      <c r="K17" s="14">
        <f>vlookup(D17,'upcoming, not in GEM'!A:D,3,false)</f>
        <v>0</v>
      </c>
      <c r="L17" s="14">
        <f>vlookup(D17,'upcoming, not in GEM'!A:D,4,false)</f>
        <v>111</v>
      </c>
      <c r="N17" s="14" t="str">
        <f>vlookup(D17,'upcoming, not in GEM'!A:B,2,false)</f>
        <v>West Kalimantan</v>
      </c>
      <c r="O17" s="19" t="s">
        <v>48</v>
      </c>
      <c r="T17" s="20"/>
      <c r="AL17" s="19" t="s">
        <v>53</v>
      </c>
    </row>
    <row r="18">
      <c r="D18" s="24" t="s">
        <v>117</v>
      </c>
      <c r="E18" s="18">
        <v>-35.0</v>
      </c>
      <c r="F18" s="21" t="s">
        <v>118</v>
      </c>
      <c r="G18" s="14">
        <f t="shared" si="2"/>
        <v>2029</v>
      </c>
      <c r="H18" s="15"/>
      <c r="I18" s="26">
        <v>2029.0</v>
      </c>
      <c r="J18" s="21" t="s">
        <v>119</v>
      </c>
      <c r="K18" s="14">
        <f>vlookup(D18,'upcoming, not in GEM'!A:D,3,false)</f>
        <v>0</v>
      </c>
      <c r="L18" s="14">
        <f>vlookup(D18,'upcoming, not in GEM'!A:D,4,false)</f>
        <v>111</v>
      </c>
      <c r="N18" s="14" t="str">
        <f>vlookup(D18,'upcoming, not in GEM'!A:B,2,false)</f>
        <v>West Kalimantan</v>
      </c>
      <c r="O18" s="19" t="s">
        <v>48</v>
      </c>
      <c r="T18" s="20"/>
      <c r="AL18" s="19" t="s">
        <v>53</v>
      </c>
    </row>
    <row r="19">
      <c r="D19" s="24" t="s">
        <v>117</v>
      </c>
      <c r="E19" s="18">
        <v>-20.0</v>
      </c>
      <c r="F19" s="21" t="s">
        <v>118</v>
      </c>
      <c r="G19" s="14">
        <f t="shared" si="2"/>
        <v>2027</v>
      </c>
      <c r="H19" s="15"/>
      <c r="I19" s="26">
        <v>2027.0</v>
      </c>
      <c r="J19" s="21" t="s">
        <v>119</v>
      </c>
      <c r="K19" s="14">
        <f>vlookup(D19,'upcoming, not in GEM'!A:D,3,false)</f>
        <v>0</v>
      </c>
      <c r="L19" s="14">
        <f>vlookup(D19,'upcoming, not in GEM'!A:D,4,false)</f>
        <v>111</v>
      </c>
      <c r="N19" s="14" t="str">
        <f>vlookup(D19,'upcoming, not in GEM'!A:B,2,false)</f>
        <v>West Kalimantan</v>
      </c>
      <c r="O19" s="19" t="s">
        <v>48</v>
      </c>
      <c r="T19" s="20"/>
      <c r="AL19" s="19" t="s">
        <v>53</v>
      </c>
    </row>
    <row r="20">
      <c r="D20" s="27" t="s">
        <v>120</v>
      </c>
      <c r="E20" s="28">
        <v>10.0</v>
      </c>
      <c r="F20" s="21" t="s">
        <v>118</v>
      </c>
      <c r="G20" s="14">
        <f t="shared" si="2"/>
        <v>2025</v>
      </c>
      <c r="H20" s="28">
        <v>2025.0</v>
      </c>
      <c r="I20" s="29">
        <v>2025.0</v>
      </c>
      <c r="J20" s="21" t="s">
        <v>119</v>
      </c>
      <c r="K20" s="14">
        <f>vlookup(D20,'upcoming, not in GEM'!A:D,3,false)</f>
        <v>1.5</v>
      </c>
      <c r="L20" s="14">
        <f>vlookup(D20,'upcoming, not in GEM'!A:D,4,false)</f>
        <v>127.8</v>
      </c>
      <c r="N20" s="14" t="str">
        <f>vlookup(D20,'upcoming, not in GEM'!A:B,2,false)</f>
        <v>North Maluku (Halmahera Island)</v>
      </c>
      <c r="O20" s="19" t="s">
        <v>48</v>
      </c>
      <c r="T20" s="20"/>
      <c r="AL20" s="19" t="s">
        <v>53</v>
      </c>
    </row>
    <row r="21">
      <c r="D21" s="27" t="s">
        <v>121</v>
      </c>
      <c r="E21" s="28">
        <v>10.0</v>
      </c>
      <c r="F21" s="21" t="s">
        <v>118</v>
      </c>
      <c r="G21" s="14">
        <f t="shared" si="2"/>
        <v>2026</v>
      </c>
      <c r="H21" s="28">
        <v>2026.0</v>
      </c>
      <c r="I21" s="29">
        <v>2026.0</v>
      </c>
      <c r="J21" s="21" t="s">
        <v>119</v>
      </c>
      <c r="K21" s="14">
        <f>vlookup(D21,'upcoming, not in GEM'!A:D,3,false)</f>
        <v>0.7</v>
      </c>
      <c r="L21" s="14">
        <f>vlookup(D21,'upcoming, not in GEM'!A:D,4,false)</f>
        <v>127.5</v>
      </c>
      <c r="N21" s="14" t="str">
        <f>vlookup(D21,'upcoming, not in GEM'!A:B,2,false)</f>
        <v>North Maluku</v>
      </c>
      <c r="O21" s="19" t="s">
        <v>48</v>
      </c>
      <c r="T21" s="20"/>
      <c r="AL21" s="19" t="s">
        <v>53</v>
      </c>
    </row>
    <row r="22">
      <c r="D22" s="17" t="s">
        <v>122</v>
      </c>
      <c r="E22" s="18">
        <v>10.0</v>
      </c>
      <c r="F22" s="21" t="s">
        <v>118</v>
      </c>
      <c r="G22" s="14">
        <f t="shared" si="2"/>
        <v>2027</v>
      </c>
      <c r="H22" s="18">
        <v>2027.0</v>
      </c>
      <c r="I22" s="26">
        <v>2027.0</v>
      </c>
      <c r="J22" s="21" t="s">
        <v>119</v>
      </c>
      <c r="K22" s="14">
        <f>vlookup(D22,'upcoming, not in GEM'!A:D,3,false)</f>
        <v>-6.7</v>
      </c>
      <c r="L22" s="14">
        <f>vlookup(D22,'upcoming, not in GEM'!A:D,4,false)</f>
        <v>140.4</v>
      </c>
      <c r="N22" s="14" t="str">
        <f>vlookup(D22,'upcoming, not in GEM'!A:B,2,false)</f>
        <v>South Papua (Papua Island)</v>
      </c>
      <c r="O22" s="19" t="s">
        <v>48</v>
      </c>
      <c r="T22" s="20"/>
      <c r="AL22" s="19" t="s">
        <v>53</v>
      </c>
    </row>
    <row r="23">
      <c r="D23" s="17" t="s">
        <v>123</v>
      </c>
      <c r="E23" s="18">
        <v>10.0</v>
      </c>
      <c r="F23" s="21" t="s">
        <v>118</v>
      </c>
      <c r="G23" s="14">
        <f t="shared" si="2"/>
        <v>2030</v>
      </c>
      <c r="H23" s="18">
        <v>2030.0</v>
      </c>
      <c r="I23" s="26">
        <v>2030.0</v>
      </c>
      <c r="J23" s="21" t="s">
        <v>124</v>
      </c>
      <c r="K23" s="14">
        <f>vlookup(D23,'upcoming, not in GEM'!A:D,3,false)</f>
        <v>-3.5</v>
      </c>
      <c r="L23" s="14">
        <f>vlookup(D23,'upcoming, not in GEM'!A:D,4,false)</f>
        <v>135.5</v>
      </c>
      <c r="N23" s="14" t="str">
        <f>vlookup(D23,'upcoming, not in GEM'!A:B,2,false)</f>
        <v>Central Papua (Papua Island)</v>
      </c>
      <c r="O23" s="19" t="s">
        <v>48</v>
      </c>
      <c r="T23" s="20"/>
      <c r="AL23" s="19" t="s">
        <v>53</v>
      </c>
    </row>
    <row r="24">
      <c r="D24" s="27" t="s">
        <v>125</v>
      </c>
      <c r="E24" s="28">
        <v>15.0</v>
      </c>
      <c r="F24" s="21" t="s">
        <v>118</v>
      </c>
      <c r="G24" s="14">
        <f t="shared" si="2"/>
        <v>2026</v>
      </c>
      <c r="H24" s="28">
        <v>2026.0</v>
      </c>
      <c r="I24" s="29">
        <v>2026.0</v>
      </c>
      <c r="J24" s="21" t="s">
        <v>119</v>
      </c>
      <c r="K24" s="21">
        <v>-5.459424</v>
      </c>
      <c r="L24" s="21">
        <v>122.605949</v>
      </c>
      <c r="N24" s="14" t="str">
        <f>vlookup(D24,'upcoming, not in GEM'!A:B,2,false)</f>
        <v>Southeast Sulawesi</v>
      </c>
      <c r="O24" s="19" t="s">
        <v>48</v>
      </c>
      <c r="T24" s="20"/>
      <c r="AL24" s="19" t="s">
        <v>53</v>
      </c>
    </row>
    <row r="25">
      <c r="D25" s="27" t="s">
        <v>125</v>
      </c>
      <c r="E25" s="28">
        <v>15.0</v>
      </c>
      <c r="F25" s="21" t="s">
        <v>118</v>
      </c>
      <c r="G25" s="14">
        <f t="shared" si="2"/>
        <v>2027</v>
      </c>
      <c r="H25" s="28">
        <v>2027.0</v>
      </c>
      <c r="I25" s="29">
        <v>2027.0</v>
      </c>
      <c r="J25" s="21" t="s">
        <v>119</v>
      </c>
      <c r="K25" s="21">
        <v>-5.459424</v>
      </c>
      <c r="L25" s="21">
        <v>122.605949</v>
      </c>
      <c r="N25" s="14" t="str">
        <f>vlookup(D25,'upcoming, not in GEM'!A:B,2,false)</f>
        <v>Southeast Sulawesi</v>
      </c>
      <c r="O25" s="19" t="s">
        <v>48</v>
      </c>
      <c r="T25" s="20"/>
      <c r="AL25" s="19" t="s">
        <v>53</v>
      </c>
    </row>
    <row r="26">
      <c r="D26" s="27" t="s">
        <v>126</v>
      </c>
      <c r="E26" s="28">
        <v>20.0</v>
      </c>
      <c r="F26" s="21" t="s">
        <v>118</v>
      </c>
      <c r="G26" s="14">
        <f t="shared" si="2"/>
        <v>2025</v>
      </c>
      <c r="H26" s="28">
        <v>2025.0</v>
      </c>
      <c r="I26" s="29">
        <v>2025.0</v>
      </c>
      <c r="J26" s="21" t="s">
        <v>119</v>
      </c>
      <c r="K26" s="14">
        <f>vlookup(D26,'upcoming, not in GEM'!A:D,3,false)</f>
        <v>1.5</v>
      </c>
      <c r="L26" s="14">
        <f>vlookup(D26,'upcoming, not in GEM'!A:D,4,false)</f>
        <v>127.8</v>
      </c>
      <c r="N26" s="14" t="str">
        <f>vlookup(D26,'upcoming, not in GEM'!A:B,2,false)</f>
        <v>North Maluku (Halmahera Island)</v>
      </c>
      <c r="O26" s="19" t="s">
        <v>48</v>
      </c>
      <c r="T26" s="20"/>
      <c r="AL26" s="19" t="s">
        <v>53</v>
      </c>
    </row>
    <row r="27">
      <c r="D27" s="27" t="s">
        <v>127</v>
      </c>
      <c r="E27" s="28">
        <v>20.0</v>
      </c>
      <c r="F27" s="21" t="s">
        <v>118</v>
      </c>
      <c r="G27" s="14">
        <f t="shared" si="2"/>
        <v>2025</v>
      </c>
      <c r="H27" s="28">
        <v>2025.0</v>
      </c>
      <c r="I27" s="29">
        <v>2025.0</v>
      </c>
      <c r="J27" s="21" t="s">
        <v>119</v>
      </c>
      <c r="K27" s="14">
        <f>vlookup(D27,'upcoming, not in GEM'!A:D,3,false)</f>
        <v>-0.8</v>
      </c>
      <c r="L27" s="14">
        <f>vlookup(D27,'upcoming, not in GEM'!A:D,4,false)</f>
        <v>134</v>
      </c>
      <c r="N27" s="14" t="str">
        <f>vlookup(D27,'upcoming, not in GEM'!A:B,2,false)</f>
        <v>West Papua</v>
      </c>
      <c r="O27" s="19" t="s">
        <v>48</v>
      </c>
      <c r="T27" s="20"/>
      <c r="AL27" s="19" t="s">
        <v>53</v>
      </c>
    </row>
    <row r="28">
      <c r="D28" s="27" t="s">
        <v>128</v>
      </c>
      <c r="E28" s="28">
        <v>20.0</v>
      </c>
      <c r="F28" s="21" t="s">
        <v>118</v>
      </c>
      <c r="G28" s="14">
        <f t="shared" si="2"/>
        <v>2026</v>
      </c>
      <c r="H28" s="28">
        <v>2026.0</v>
      </c>
      <c r="I28" s="29">
        <v>2026.0</v>
      </c>
      <c r="J28" s="21" t="s">
        <v>119</v>
      </c>
      <c r="K28" s="21">
        <v>-0.866667</v>
      </c>
      <c r="L28" s="21">
        <v>131.25</v>
      </c>
      <c r="N28" s="14" t="str">
        <f>vlookup(D28,'upcoming, not in GEM'!A:B,2,false)</f>
        <v>West Papua</v>
      </c>
      <c r="O28" s="19" t="s">
        <v>129</v>
      </c>
      <c r="T28" s="20"/>
      <c r="AL28" s="19" t="s">
        <v>53</v>
      </c>
    </row>
    <row r="29">
      <c r="D29" s="27" t="s">
        <v>130</v>
      </c>
      <c r="E29" s="28">
        <v>20.0</v>
      </c>
      <c r="F29" s="21" t="s">
        <v>118</v>
      </c>
      <c r="G29" s="14">
        <f t="shared" si="2"/>
        <v>2026</v>
      </c>
      <c r="H29" s="28">
        <v>2026.0</v>
      </c>
      <c r="I29" s="29">
        <v>2026.0</v>
      </c>
      <c r="J29" s="21" t="s">
        <v>119</v>
      </c>
      <c r="K29" s="14">
        <f>vlookup(D29,'upcoming, not in GEM'!A:D,3,false)</f>
        <v>-0.8</v>
      </c>
      <c r="L29" s="14">
        <f>vlookup(D29,'upcoming, not in GEM'!A:D,4,false)</f>
        <v>134</v>
      </c>
      <c r="N29" s="14" t="str">
        <f>vlookup(D29,'upcoming, not in GEM'!A:B,2,false)</f>
        <v>West Papua</v>
      </c>
      <c r="O29" s="19" t="s">
        <v>48</v>
      </c>
      <c r="T29" s="20"/>
      <c r="AL29" s="19" t="s">
        <v>53</v>
      </c>
    </row>
    <row r="30">
      <c r="D30" s="27" t="s">
        <v>131</v>
      </c>
      <c r="E30" s="28">
        <v>20.0</v>
      </c>
      <c r="F30" s="21" t="s">
        <v>118</v>
      </c>
      <c r="G30" s="14">
        <f t="shared" si="2"/>
        <v>2027</v>
      </c>
      <c r="H30" s="28">
        <v>2027.0</v>
      </c>
      <c r="I30" s="29">
        <v>2027.0</v>
      </c>
      <c r="J30" s="21" t="s">
        <v>119</v>
      </c>
      <c r="K30" s="21">
        <v>-1.5614331</v>
      </c>
      <c r="L30" s="21">
        <v>127.4210337</v>
      </c>
      <c r="N30" s="14" t="str">
        <f>vlookup(D30,'upcoming, not in GEM'!A:B,2,false)</f>
        <v>North Maluku (Halmahera Island)</v>
      </c>
      <c r="O30" s="19" t="s">
        <v>48</v>
      </c>
      <c r="T30" s="20"/>
      <c r="AL30" s="19" t="s">
        <v>53</v>
      </c>
    </row>
    <row r="31">
      <c r="D31" s="27" t="s">
        <v>132</v>
      </c>
      <c r="E31" s="28">
        <v>20.0</v>
      </c>
      <c r="F31" s="21" t="s">
        <v>118</v>
      </c>
      <c r="G31" s="14">
        <f t="shared" si="2"/>
        <v>2031</v>
      </c>
      <c r="H31" s="28">
        <v>2031.0</v>
      </c>
      <c r="I31" s="29">
        <v>2031.0</v>
      </c>
      <c r="J31" s="21" t="s">
        <v>124</v>
      </c>
      <c r="K31" s="14">
        <f>vlookup(D31,'upcoming, not in GEM'!A:D,3,false)</f>
        <v>-0.8</v>
      </c>
      <c r="L31" s="14">
        <f>vlookup(D31,'upcoming, not in GEM'!A:D,4,false)</f>
        <v>134</v>
      </c>
      <c r="N31" s="14" t="str">
        <f>vlookup(D31,'upcoming, not in GEM'!A:B,2,false)</f>
        <v>West Papua</v>
      </c>
      <c r="O31" s="19" t="s">
        <v>48</v>
      </c>
      <c r="T31" s="20"/>
      <c r="AL31" s="19" t="s">
        <v>53</v>
      </c>
    </row>
    <row r="32">
      <c r="D32" s="27" t="s">
        <v>133</v>
      </c>
      <c r="E32" s="28">
        <v>25.0</v>
      </c>
      <c r="F32" s="21" t="s">
        <v>118</v>
      </c>
      <c r="G32" s="14">
        <f t="shared" si="2"/>
        <v>2028</v>
      </c>
      <c r="H32" s="28">
        <v>2028.0</v>
      </c>
      <c r="I32" s="29">
        <v>2028.0</v>
      </c>
      <c r="J32" s="21" t="s">
        <v>119</v>
      </c>
      <c r="K32" s="14">
        <f>vlookup(D32,'upcoming, not in GEM'!A:D,3,false)</f>
        <v>-0.609017</v>
      </c>
      <c r="L32" s="14">
        <f>vlookup(D32,'upcoming, not in GEM'!A:D,4,false)</f>
        <v>100.753697</v>
      </c>
      <c r="N32" s="14" t="str">
        <f>vlookup(D32,'upcoming, not in GEM'!A:B,2,false)</f>
        <v>South and Central Sumatra or Sulawesi</v>
      </c>
      <c r="O32" s="19" t="s">
        <v>129</v>
      </c>
      <c r="T32" s="20"/>
      <c r="AL32" s="19" t="s">
        <v>53</v>
      </c>
    </row>
    <row r="33">
      <c r="D33" s="27" t="s">
        <v>134</v>
      </c>
      <c r="E33" s="28">
        <v>30.0</v>
      </c>
      <c r="F33" s="21" t="s">
        <v>118</v>
      </c>
      <c r="G33" s="14">
        <f t="shared" si="2"/>
        <v>2025</v>
      </c>
      <c r="H33" s="28">
        <v>2025.0</v>
      </c>
      <c r="I33" s="29">
        <v>2025.0</v>
      </c>
      <c r="J33" s="21" t="s">
        <v>119</v>
      </c>
      <c r="K33" s="14">
        <f>vlookup(D33,'upcoming, not in GEM'!A:D,3,false)</f>
        <v>-7</v>
      </c>
      <c r="L33" s="14">
        <f>vlookup(D33,'upcoming, not in GEM'!A:D,4,false)</f>
        <v>113.3</v>
      </c>
      <c r="N33" s="14" t="str">
        <f>vlookup(D33,'upcoming, not in GEM'!A:B,2,false)</f>
        <v>East Java (Madura Island)</v>
      </c>
      <c r="O33" s="19" t="s">
        <v>48</v>
      </c>
      <c r="T33" s="20"/>
      <c r="AL33" s="19" t="s">
        <v>53</v>
      </c>
    </row>
    <row r="34">
      <c r="D34" s="27" t="s">
        <v>135</v>
      </c>
      <c r="E34" s="28">
        <v>30.0</v>
      </c>
      <c r="F34" s="21" t="s">
        <v>118</v>
      </c>
      <c r="G34" s="14">
        <f t="shared" si="2"/>
        <v>2026</v>
      </c>
      <c r="H34" s="28">
        <v>2026.0</v>
      </c>
      <c r="I34" s="29">
        <v>2026.0</v>
      </c>
      <c r="J34" s="21" t="s">
        <v>119</v>
      </c>
      <c r="K34" s="14">
        <f>vlookup(D34,'upcoming, not in GEM'!A:D,3,false)</f>
        <v>-8.5</v>
      </c>
      <c r="L34" s="14">
        <f>vlookup(D34,'upcoming, not in GEM'!A:D,4,false)</f>
        <v>116.3</v>
      </c>
      <c r="N34" s="14" t="str">
        <f>vlookup(D34,'upcoming, not in GEM'!A:B,2,false)</f>
        <v>West Nusa Tenggara (Lombok Island)</v>
      </c>
      <c r="O34" s="19" t="s">
        <v>48</v>
      </c>
      <c r="T34" s="20"/>
      <c r="AL34" s="19" t="s">
        <v>53</v>
      </c>
    </row>
    <row r="35">
      <c r="D35" s="27" t="s">
        <v>136</v>
      </c>
      <c r="E35" s="28">
        <v>30.0</v>
      </c>
      <c r="F35" s="21" t="s">
        <v>118</v>
      </c>
      <c r="G35" s="14">
        <f t="shared" si="2"/>
        <v>2027</v>
      </c>
      <c r="H35" s="28">
        <v>2027.0</v>
      </c>
      <c r="I35" s="29">
        <v>2027.0</v>
      </c>
      <c r="J35" s="21" t="s">
        <v>119</v>
      </c>
      <c r="K35" s="14">
        <f>vlookup(D35,'upcoming, not in GEM'!A:D,3,false)</f>
        <v>-10</v>
      </c>
      <c r="L35" s="14">
        <f>vlookup(D35,'upcoming, not in GEM'!A:D,4,false)</f>
        <v>123.5</v>
      </c>
      <c r="N35" s="14" t="str">
        <f>vlookup(D35,'upcoming, not in GEM'!A:B,2,false)</f>
        <v>East Nusa Tenggara (Timor Island)</v>
      </c>
      <c r="O35" s="19" t="s">
        <v>48</v>
      </c>
      <c r="T35" s="20"/>
      <c r="AL35" s="19" t="s">
        <v>53</v>
      </c>
    </row>
    <row r="36">
      <c r="D36" s="27" t="s">
        <v>136</v>
      </c>
      <c r="E36" s="28">
        <v>30.0</v>
      </c>
      <c r="F36" s="21" t="s">
        <v>118</v>
      </c>
      <c r="G36" s="14">
        <f t="shared" si="2"/>
        <v>2028</v>
      </c>
      <c r="H36" s="30"/>
      <c r="I36" s="29">
        <v>2028.0</v>
      </c>
      <c r="J36" s="21" t="s">
        <v>119</v>
      </c>
      <c r="K36" s="14">
        <f>vlookup(D36,'upcoming, not in GEM'!A:D,3,false)</f>
        <v>-10</v>
      </c>
      <c r="L36" s="14">
        <f>vlookup(D36,'upcoming, not in GEM'!A:D,4,false)</f>
        <v>123.5</v>
      </c>
      <c r="N36" s="14" t="str">
        <f>vlookup(D36,'upcoming, not in GEM'!A:B,2,false)</f>
        <v>East Nusa Tenggara (Timor Island)</v>
      </c>
      <c r="O36" s="19" t="s">
        <v>48</v>
      </c>
      <c r="T36" s="20"/>
      <c r="AL36" s="19" t="s">
        <v>53</v>
      </c>
    </row>
    <row r="37">
      <c r="C37" s="16"/>
      <c r="D37" s="27" t="s">
        <v>137</v>
      </c>
      <c r="E37" s="28">
        <v>40.0</v>
      </c>
      <c r="F37" s="21" t="s">
        <v>118</v>
      </c>
      <c r="G37" s="14">
        <f t="shared" si="2"/>
        <v>2025</v>
      </c>
      <c r="H37" s="28">
        <v>2025.0</v>
      </c>
      <c r="I37" s="29">
        <v>2025.0</v>
      </c>
      <c r="J37" s="21" t="s">
        <v>119</v>
      </c>
      <c r="K37" s="14">
        <f>vlookup(D37,'upcoming, not in GEM'!A:D,3,false)</f>
        <v>-1</v>
      </c>
      <c r="L37" s="14">
        <f>vlookup(D37,'upcoming, not in GEM'!A:D,4,false)</f>
        <v>122.8</v>
      </c>
      <c r="N37" s="14" t="str">
        <f>vlookup(D37,'upcoming, not in GEM'!A:B,2,false)</f>
        <v>Central Sulawesi</v>
      </c>
      <c r="O37" s="19" t="s">
        <v>48</v>
      </c>
      <c r="T37" s="20"/>
      <c r="AL37" s="19" t="s">
        <v>53</v>
      </c>
    </row>
    <row r="38">
      <c r="D38" s="27" t="s">
        <v>138</v>
      </c>
      <c r="E38" s="28">
        <v>50.0</v>
      </c>
      <c r="F38" s="21" t="s">
        <v>118</v>
      </c>
      <c r="G38" s="14">
        <f t="shared" ref="G38:G39" si="3">H38</f>
        <v>2025</v>
      </c>
      <c r="H38" s="28">
        <v>2025.0</v>
      </c>
      <c r="I38" s="29">
        <v>2025.0</v>
      </c>
      <c r="J38" s="21" t="s">
        <v>119</v>
      </c>
      <c r="K38" s="21">
        <v>-3.705</v>
      </c>
      <c r="L38" s="21">
        <v>128.17</v>
      </c>
      <c r="N38" s="14" t="str">
        <f>vlookup(D38,'upcoming, not in GEM'!A:B,2,false)</f>
        <v>Maluku (Ambon Island)</v>
      </c>
      <c r="O38" s="19" t="s">
        <v>48</v>
      </c>
      <c r="T38" s="20"/>
      <c r="AL38" s="19" t="s">
        <v>53</v>
      </c>
    </row>
    <row r="39">
      <c r="D39" s="27" t="s">
        <v>139</v>
      </c>
      <c r="E39" s="28">
        <v>50.0</v>
      </c>
      <c r="F39" s="21" t="s">
        <v>118</v>
      </c>
      <c r="G39" s="14">
        <f t="shared" si="3"/>
        <v>2027</v>
      </c>
      <c r="H39" s="29">
        <v>2027.0</v>
      </c>
      <c r="I39" s="30"/>
      <c r="J39" s="21" t="s">
        <v>119</v>
      </c>
      <c r="K39" s="14">
        <f>vlookup(D39,'upcoming, not in GEM'!A:D,3,false)</f>
        <v>3.3</v>
      </c>
      <c r="L39" s="14">
        <f>vlookup(D39,'upcoming, not in GEM'!A:D,4,false)</f>
        <v>117.6</v>
      </c>
      <c r="N39" s="14" t="str">
        <f>vlookup(D39,'upcoming, not in GEM'!A:B,2,false)</f>
        <v>North Kalimantan (Tarakan Island)</v>
      </c>
      <c r="O39" s="19" t="s">
        <v>48</v>
      </c>
      <c r="T39" s="20"/>
      <c r="AL39" s="19" t="s">
        <v>53</v>
      </c>
    </row>
    <row r="40">
      <c r="A40" s="21" t="s">
        <v>140</v>
      </c>
      <c r="B40" s="21" t="s">
        <v>141</v>
      </c>
      <c r="C40" s="16" t="s">
        <v>142</v>
      </c>
      <c r="D40" s="27" t="s">
        <v>143</v>
      </c>
      <c r="E40" s="28">
        <v>50.0</v>
      </c>
      <c r="F40" s="21" t="s">
        <v>118</v>
      </c>
      <c r="G40" s="14">
        <f t="shared" ref="G40:G41" si="4">I40</f>
        <v>2027</v>
      </c>
      <c r="H40" s="28">
        <v>2027.0</v>
      </c>
      <c r="I40" s="29">
        <v>2027.0</v>
      </c>
      <c r="J40" s="21" t="s">
        <v>119</v>
      </c>
      <c r="K40" s="14">
        <f>vlookup(D40,'upcoming, not in GEM'!A:D,3,false)</f>
        <v>1</v>
      </c>
      <c r="L40" s="14">
        <f>vlookup(D40,'upcoming, not in GEM'!A:D,4,false)</f>
        <v>124.8</v>
      </c>
      <c r="N40" s="14" t="str">
        <f>vlookup(D40,'upcoming, not in GEM'!A:B,2,false)</f>
        <v>North Sulawesi</v>
      </c>
      <c r="O40" s="19" t="s">
        <v>48</v>
      </c>
      <c r="R40" s="21" t="s">
        <v>62</v>
      </c>
      <c r="S40" s="21" t="s">
        <v>69</v>
      </c>
      <c r="T40" s="31" t="s">
        <v>69</v>
      </c>
      <c r="U40" s="21" t="s">
        <v>144</v>
      </c>
      <c r="AL40" s="19" t="s">
        <v>53</v>
      </c>
      <c r="AN40" s="21" t="s">
        <v>53</v>
      </c>
    </row>
    <row r="41">
      <c r="D41" s="27" t="s">
        <v>139</v>
      </c>
      <c r="E41" s="28">
        <v>50.0</v>
      </c>
      <c r="F41" s="21" t="s">
        <v>118</v>
      </c>
      <c r="G41" s="14">
        <f t="shared" si="4"/>
        <v>2027</v>
      </c>
      <c r="H41" s="30"/>
      <c r="I41" s="29">
        <v>2027.0</v>
      </c>
      <c r="J41" s="21" t="s">
        <v>119</v>
      </c>
      <c r="K41" s="14">
        <f>vlookup(D41,'upcoming, not in GEM'!A:D,3,false)</f>
        <v>3.3</v>
      </c>
      <c r="L41" s="14">
        <f>vlookup(D41,'upcoming, not in GEM'!A:D,4,false)</f>
        <v>117.6</v>
      </c>
      <c r="N41" s="14" t="str">
        <f>vlookup(D41,'upcoming, not in GEM'!A:B,2,false)</f>
        <v>North Kalimantan (Tarakan Island)</v>
      </c>
      <c r="O41" s="19" t="s">
        <v>48</v>
      </c>
      <c r="T41" s="20"/>
      <c r="AL41" s="19" t="s">
        <v>53</v>
      </c>
    </row>
    <row r="42">
      <c r="D42" s="27" t="s">
        <v>136</v>
      </c>
      <c r="E42" s="28">
        <v>50.0</v>
      </c>
      <c r="F42" s="21" t="s">
        <v>118</v>
      </c>
      <c r="G42" s="14">
        <f>H42</f>
        <v>2028</v>
      </c>
      <c r="H42" s="29">
        <v>2028.0</v>
      </c>
      <c r="I42" s="30"/>
      <c r="J42" s="21" t="s">
        <v>119</v>
      </c>
      <c r="K42" s="14">
        <f>vlookup(D42,'upcoming, not in GEM'!A:D,3,false)</f>
        <v>-10</v>
      </c>
      <c r="L42" s="14">
        <f>vlookup(D42,'upcoming, not in GEM'!A:D,4,false)</f>
        <v>123.5</v>
      </c>
      <c r="N42" s="14" t="str">
        <f>vlookup(D42,'upcoming, not in GEM'!A:B,2,false)</f>
        <v>East Nusa Tenggara (Timor Island)</v>
      </c>
      <c r="O42" s="19" t="s">
        <v>48</v>
      </c>
      <c r="T42" s="20"/>
      <c r="AL42" s="19" t="s">
        <v>53</v>
      </c>
    </row>
    <row r="43">
      <c r="D43" s="27" t="s">
        <v>145</v>
      </c>
      <c r="E43" s="28">
        <v>50.0</v>
      </c>
      <c r="F43" s="21" t="s">
        <v>118</v>
      </c>
      <c r="G43" s="14">
        <f>I43</f>
        <v>2028</v>
      </c>
      <c r="H43" s="28">
        <v>2028.0</v>
      </c>
      <c r="I43" s="29">
        <v>2028.0</v>
      </c>
      <c r="J43" s="21" t="s">
        <v>119</v>
      </c>
      <c r="K43" s="14">
        <f>vlookup(D43,'upcoming, not in GEM'!A:D,3,false)</f>
        <v>-10</v>
      </c>
      <c r="L43" s="14">
        <f>vlookup(D43,'upcoming, not in GEM'!A:D,4,false)</f>
        <v>123.5</v>
      </c>
      <c r="N43" s="14" t="str">
        <f>vlookup(D43,'upcoming, not in GEM'!A:B,2,false)</f>
        <v>East Nusa Tenggara (Timor Island)</v>
      </c>
      <c r="O43" s="19" t="s">
        <v>48</v>
      </c>
      <c r="T43" s="20"/>
      <c r="AL43" s="19" t="s">
        <v>53</v>
      </c>
    </row>
    <row r="44">
      <c r="D44" s="27" t="s">
        <v>146</v>
      </c>
      <c r="E44" s="28">
        <v>50.0</v>
      </c>
      <c r="F44" s="21" t="s">
        <v>118</v>
      </c>
      <c r="G44" s="14">
        <f>H44</f>
        <v>2029</v>
      </c>
      <c r="H44" s="29">
        <v>2029.0</v>
      </c>
      <c r="I44" s="30"/>
      <c r="J44" s="21" t="s">
        <v>119</v>
      </c>
      <c r="K44" s="21">
        <v>0.341989</v>
      </c>
      <c r="L44" s="21">
        <v>108.940307</v>
      </c>
      <c r="N44" s="14" t="str">
        <f>vlookup(D44,'upcoming, not in GEM'!A:B,2,false)</f>
        <v>West Kalimantan</v>
      </c>
      <c r="O44" s="19" t="s">
        <v>48</v>
      </c>
      <c r="T44" s="20"/>
      <c r="AL44" s="19" t="s">
        <v>53</v>
      </c>
    </row>
    <row r="45">
      <c r="A45" s="21" t="s">
        <v>147</v>
      </c>
      <c r="B45" s="21" t="s">
        <v>148</v>
      </c>
      <c r="C45" s="32" t="s">
        <v>149</v>
      </c>
      <c r="D45" s="27" t="s">
        <v>150</v>
      </c>
      <c r="E45" s="28">
        <v>50.0</v>
      </c>
      <c r="F45" s="21" t="s">
        <v>118</v>
      </c>
      <c r="G45" s="14">
        <f t="shared" ref="G45:G51" si="5">I45</f>
        <v>2030</v>
      </c>
      <c r="H45" s="30"/>
      <c r="I45" s="29">
        <v>2030.0</v>
      </c>
      <c r="J45" s="21" t="s">
        <v>124</v>
      </c>
      <c r="K45" s="14">
        <f>vlookup(D45,'upcoming, not in GEM'!A:D,3,false)</f>
        <v>-3</v>
      </c>
      <c r="L45" s="14">
        <f>vlookup(D45,'upcoming, not in GEM'!A:D,4,false)</f>
        <v>114.5</v>
      </c>
      <c r="N45" s="14" t="str">
        <f>vlookup(D45,'upcoming, not in GEM'!A:B,2,false)</f>
        <v>South Kalimantan and Central Kalimantan</v>
      </c>
      <c r="O45" s="19" t="s">
        <v>48</v>
      </c>
      <c r="R45" s="14" t="s">
        <v>62</v>
      </c>
      <c r="S45" s="21" t="s">
        <v>69</v>
      </c>
      <c r="T45" s="31" t="s">
        <v>69</v>
      </c>
      <c r="U45" s="21" t="s">
        <v>144</v>
      </c>
      <c r="AL45" s="19" t="s">
        <v>53</v>
      </c>
      <c r="AN45" s="21" t="s">
        <v>53</v>
      </c>
    </row>
    <row r="46">
      <c r="A46" s="21" t="s">
        <v>151</v>
      </c>
      <c r="B46" s="21" t="s">
        <v>152</v>
      </c>
      <c r="C46" s="32" t="s">
        <v>153</v>
      </c>
      <c r="D46" s="33" t="s">
        <v>154</v>
      </c>
      <c r="E46" s="28">
        <v>50.0</v>
      </c>
      <c r="F46" s="21" t="s">
        <v>118</v>
      </c>
      <c r="G46" s="14">
        <f t="shared" si="5"/>
        <v>2030</v>
      </c>
      <c r="H46" s="30"/>
      <c r="I46" s="29">
        <v>2030.0</v>
      </c>
      <c r="J46" s="21" t="s">
        <v>124</v>
      </c>
      <c r="K46" s="21">
        <v>1.227</v>
      </c>
      <c r="L46" s="21">
        <v>114.577</v>
      </c>
      <c r="N46" s="14" t="str">
        <f>vlookup(D46,'upcoming, not in GEM'!A:B,2,false)</f>
        <v>North Kalimantan and East Kalimantan</v>
      </c>
      <c r="O46" s="19" t="s">
        <v>48</v>
      </c>
      <c r="R46" s="14" t="s">
        <v>62</v>
      </c>
      <c r="S46" s="21" t="s">
        <v>69</v>
      </c>
      <c r="T46" s="31" t="s">
        <v>69</v>
      </c>
      <c r="U46" s="21" t="s">
        <v>144</v>
      </c>
      <c r="AL46" s="19" t="s">
        <v>53</v>
      </c>
      <c r="AN46" s="21" t="s">
        <v>53</v>
      </c>
    </row>
    <row r="47">
      <c r="D47" s="27" t="s">
        <v>145</v>
      </c>
      <c r="E47" s="28">
        <v>50.0</v>
      </c>
      <c r="F47" s="21" t="s">
        <v>118</v>
      </c>
      <c r="G47" s="14">
        <f t="shared" si="5"/>
        <v>2031</v>
      </c>
      <c r="H47" s="28">
        <v>2031.0</v>
      </c>
      <c r="I47" s="29">
        <v>2031.0</v>
      </c>
      <c r="J47" s="21" t="s">
        <v>124</v>
      </c>
      <c r="K47" s="14">
        <f>vlookup(D47,'upcoming, not in GEM'!A:D,3,false)</f>
        <v>-10</v>
      </c>
      <c r="L47" s="14">
        <f>vlookup(D47,'upcoming, not in GEM'!A:D,4,false)</f>
        <v>123.5</v>
      </c>
      <c r="N47" s="14" t="str">
        <f>vlookup(D47,'upcoming, not in GEM'!A:B,2,false)</f>
        <v>East Nusa Tenggara (Timor Island)</v>
      </c>
      <c r="O47" s="19" t="s">
        <v>48</v>
      </c>
      <c r="T47" s="20"/>
      <c r="AL47" s="19" t="s">
        <v>53</v>
      </c>
    </row>
    <row r="48">
      <c r="D48" s="27" t="s">
        <v>155</v>
      </c>
      <c r="E48" s="28">
        <v>50.0</v>
      </c>
      <c r="F48" s="21" t="s">
        <v>118</v>
      </c>
      <c r="G48" s="14">
        <f t="shared" si="5"/>
        <v>2032</v>
      </c>
      <c r="H48" s="28">
        <v>2032.0</v>
      </c>
      <c r="I48" s="29">
        <v>2032.0</v>
      </c>
      <c r="J48" s="21" t="s">
        <v>124</v>
      </c>
      <c r="K48" s="14">
        <f>vlookup(D48,'upcoming, not in GEM'!A:D,3,false)</f>
        <v>-10</v>
      </c>
      <c r="L48" s="14">
        <f>vlookup(D48,'upcoming, not in GEM'!A:D,4,false)</f>
        <v>123.5</v>
      </c>
      <c r="N48" s="14" t="str">
        <f>vlookup(D48,'upcoming, not in GEM'!A:B,2,false)</f>
        <v>East Nusa Tenggara (Timor Island)</v>
      </c>
      <c r="O48" s="19" t="s">
        <v>48</v>
      </c>
      <c r="T48" s="20"/>
      <c r="AL48" s="19" t="s">
        <v>53</v>
      </c>
    </row>
    <row r="49">
      <c r="D49" s="27" t="s">
        <v>156</v>
      </c>
      <c r="E49" s="28">
        <v>50.0</v>
      </c>
      <c r="F49" s="21" t="s">
        <v>118</v>
      </c>
      <c r="G49" s="14">
        <f t="shared" si="5"/>
        <v>2033</v>
      </c>
      <c r="H49" s="28">
        <v>2033.0</v>
      </c>
      <c r="I49" s="29">
        <v>2033.0</v>
      </c>
      <c r="J49" s="21" t="s">
        <v>124</v>
      </c>
      <c r="K49" s="14">
        <f>vlookup(D49,'upcoming, not in GEM'!A:D,3,false)</f>
        <v>-8.5</v>
      </c>
      <c r="L49" s="14">
        <f>vlookup(D49,'upcoming, not in GEM'!A:D,4,false)</f>
        <v>116.3</v>
      </c>
      <c r="N49" s="14" t="str">
        <f>vlookup(D49,'upcoming, not in GEM'!A:B,2,false)</f>
        <v>West Nusa Tenggara (Lombok Island)</v>
      </c>
      <c r="O49" s="19" t="s">
        <v>48</v>
      </c>
      <c r="T49" s="20"/>
      <c r="AL49" s="19" t="s">
        <v>53</v>
      </c>
    </row>
    <row r="50">
      <c r="D50" s="27" t="s">
        <v>156</v>
      </c>
      <c r="E50" s="28">
        <v>50.0</v>
      </c>
      <c r="F50" s="21" t="s">
        <v>118</v>
      </c>
      <c r="G50" s="14">
        <f t="shared" si="5"/>
        <v>2034</v>
      </c>
      <c r="H50" s="28">
        <v>2034.0</v>
      </c>
      <c r="I50" s="29">
        <v>2034.0</v>
      </c>
      <c r="J50" s="21" t="s">
        <v>124</v>
      </c>
      <c r="K50" s="14">
        <f>vlookup(D50,'upcoming, not in GEM'!A:D,3,false)</f>
        <v>-8.5</v>
      </c>
      <c r="L50" s="14">
        <f>vlookup(D50,'upcoming, not in GEM'!A:D,4,false)</f>
        <v>116.3</v>
      </c>
      <c r="N50" s="14" t="str">
        <f>vlookup(D50,'upcoming, not in GEM'!A:B,2,false)</f>
        <v>West Nusa Tenggara (Lombok Island)</v>
      </c>
      <c r="O50" s="19" t="s">
        <v>48</v>
      </c>
      <c r="T50" s="20"/>
      <c r="AL50" s="19" t="s">
        <v>53</v>
      </c>
    </row>
    <row r="51">
      <c r="D51" s="27" t="s">
        <v>155</v>
      </c>
      <c r="E51" s="28">
        <v>50.0</v>
      </c>
      <c r="F51" s="21" t="s">
        <v>118</v>
      </c>
      <c r="G51" s="14">
        <f t="shared" si="5"/>
        <v>2034</v>
      </c>
      <c r="H51" s="28">
        <v>2034.0</v>
      </c>
      <c r="I51" s="29">
        <v>2034.0</v>
      </c>
      <c r="J51" s="21" t="s">
        <v>124</v>
      </c>
      <c r="K51" s="14">
        <f>vlookup(D51,'upcoming, not in GEM'!A:D,3,false)</f>
        <v>-10</v>
      </c>
      <c r="L51" s="14">
        <f>vlookup(D51,'upcoming, not in GEM'!A:D,4,false)</f>
        <v>123.5</v>
      </c>
      <c r="N51" s="14" t="str">
        <f>vlookup(D51,'upcoming, not in GEM'!A:B,2,false)</f>
        <v>East Nusa Tenggara (Timor Island)</v>
      </c>
      <c r="O51" s="19" t="s">
        <v>48</v>
      </c>
      <c r="T51" s="20"/>
      <c r="AL51" s="19" t="s">
        <v>53</v>
      </c>
    </row>
    <row r="52">
      <c r="D52" s="27" t="s">
        <v>157</v>
      </c>
      <c r="E52" s="28">
        <v>80.0</v>
      </c>
      <c r="F52" s="21" t="s">
        <v>118</v>
      </c>
      <c r="G52" s="14">
        <f>H52</f>
        <v>2027</v>
      </c>
      <c r="H52" s="29">
        <v>2027.0</v>
      </c>
      <c r="I52" s="30"/>
      <c r="J52" s="21" t="s">
        <v>119</v>
      </c>
      <c r="K52" s="14">
        <f>vlookup(D52,'upcoming, not in GEM'!A:D,3,false)</f>
        <v>-0.5</v>
      </c>
      <c r="L52" s="14">
        <f>vlookup(D52,'upcoming, not in GEM'!A:D,4,false)</f>
        <v>116.5</v>
      </c>
      <c r="N52" s="14" t="str">
        <f>vlookup(D52,'upcoming, not in GEM'!A:B,2,false)</f>
        <v>East Kalimantan</v>
      </c>
      <c r="O52" s="19" t="s">
        <v>48</v>
      </c>
      <c r="T52" s="20"/>
      <c r="AL52" s="19" t="s">
        <v>53</v>
      </c>
    </row>
    <row r="53">
      <c r="D53" s="27" t="s">
        <v>158</v>
      </c>
      <c r="E53" s="28">
        <v>80.0</v>
      </c>
      <c r="F53" s="21" t="s">
        <v>118</v>
      </c>
      <c r="G53" s="14">
        <f>I53</f>
        <v>2027</v>
      </c>
      <c r="H53" s="30"/>
      <c r="I53" s="29">
        <v>2027.0</v>
      </c>
      <c r="J53" s="21" t="s">
        <v>119</v>
      </c>
      <c r="K53" s="14">
        <f>vlookup(D53,'upcoming, not in GEM'!A:D,3,false)</f>
        <v>-0.5</v>
      </c>
      <c r="L53" s="14">
        <f>vlookup(D53,'upcoming, not in GEM'!A:D,4,false)</f>
        <v>116.5</v>
      </c>
      <c r="N53" s="14" t="str">
        <f>vlookup(D53,'upcoming, not in GEM'!A:B,2,false)</f>
        <v>East Kalimantan</v>
      </c>
      <c r="O53" s="19" t="s">
        <v>48</v>
      </c>
      <c r="T53" s="20"/>
      <c r="AL53" s="19" t="s">
        <v>53</v>
      </c>
    </row>
    <row r="54">
      <c r="A54" s="21" t="s">
        <v>159</v>
      </c>
      <c r="B54" s="21" t="s">
        <v>160</v>
      </c>
      <c r="C54" s="32" t="s">
        <v>161</v>
      </c>
      <c r="D54" s="27" t="s">
        <v>162</v>
      </c>
      <c r="E54" s="28">
        <v>80.0</v>
      </c>
      <c r="F54" s="21" t="s">
        <v>118</v>
      </c>
      <c r="G54" s="14">
        <f>H54</f>
        <v>2028</v>
      </c>
      <c r="H54" s="28">
        <v>2028.0</v>
      </c>
      <c r="I54" s="29">
        <v>2028.0</v>
      </c>
      <c r="J54" s="21" t="s">
        <v>119</v>
      </c>
      <c r="K54" s="14">
        <f>vlookup(D54,'upcoming, not in GEM'!A:D,3,false)</f>
        <v>5.5</v>
      </c>
      <c r="L54" s="14">
        <f>vlookup(D54,'upcoming, not in GEM'!A:D,4,false)</f>
        <v>95.3</v>
      </c>
      <c r="N54" s="14" t="str">
        <f>vlookup(D54,'upcoming, not in GEM'!A:B,2,false)</f>
        <v>Aceh (Sumatra Island)</v>
      </c>
      <c r="O54" s="19" t="s">
        <v>48</v>
      </c>
      <c r="R54" s="21" t="s">
        <v>62</v>
      </c>
      <c r="S54" s="21" t="s">
        <v>69</v>
      </c>
      <c r="T54" s="31" t="s">
        <v>69</v>
      </c>
      <c r="U54" s="21" t="s">
        <v>144</v>
      </c>
      <c r="AL54" s="19" t="s">
        <v>53</v>
      </c>
      <c r="AN54" s="21" t="s">
        <v>53</v>
      </c>
    </row>
    <row r="55">
      <c r="A55" s="21" t="s">
        <v>163</v>
      </c>
      <c r="B55" s="21" t="s">
        <v>164</v>
      </c>
      <c r="C55" s="32" t="s">
        <v>165</v>
      </c>
      <c r="D55" s="27" t="s">
        <v>166</v>
      </c>
      <c r="E55" s="28">
        <v>100.0</v>
      </c>
      <c r="F55" s="21" t="s">
        <v>118</v>
      </c>
      <c r="G55" s="14">
        <f t="shared" ref="G55:G56" si="6">I55</f>
        <v>2026</v>
      </c>
      <c r="H55" s="28">
        <v>2026.0</v>
      </c>
      <c r="I55" s="29">
        <v>2026.0</v>
      </c>
      <c r="J55" s="21" t="s">
        <v>119</v>
      </c>
      <c r="K55" s="14">
        <f>vlookup(D55,'upcoming, not in GEM'!A:D,3,false)</f>
        <v>-8.5</v>
      </c>
      <c r="L55" s="14">
        <f>vlookup(D55,'upcoming, not in GEM'!A:D,4,false)</f>
        <v>116.3</v>
      </c>
      <c r="N55" s="14" t="str">
        <f>vlookup(D55,'upcoming, not in GEM'!A:B,2,false)</f>
        <v>West Nusa Tenggara (Lombok Island)</v>
      </c>
      <c r="O55" s="19" t="s">
        <v>48</v>
      </c>
      <c r="R55" s="21" t="s">
        <v>49</v>
      </c>
      <c r="S55" s="14" t="s">
        <v>69</v>
      </c>
      <c r="T55" s="31" t="s">
        <v>69</v>
      </c>
      <c r="U55" s="21" t="s">
        <v>52</v>
      </c>
      <c r="AL55" s="19" t="s">
        <v>53</v>
      </c>
      <c r="AN55" s="21" t="s">
        <v>53</v>
      </c>
    </row>
    <row r="56">
      <c r="A56" s="21" t="s">
        <v>140</v>
      </c>
      <c r="B56" s="21" t="s">
        <v>167</v>
      </c>
      <c r="C56" s="16" t="s">
        <v>142</v>
      </c>
      <c r="D56" s="27" t="s">
        <v>143</v>
      </c>
      <c r="E56" s="28">
        <v>100.0</v>
      </c>
      <c r="F56" s="21" t="s">
        <v>118</v>
      </c>
      <c r="G56" s="14">
        <f t="shared" si="6"/>
        <v>2026</v>
      </c>
      <c r="H56" s="28">
        <v>2026.0</v>
      </c>
      <c r="I56" s="29">
        <v>2026.0</v>
      </c>
      <c r="J56" s="21" t="s">
        <v>119</v>
      </c>
      <c r="K56" s="14">
        <f>vlookup(D56,'upcoming, not in GEM'!A:D,3,false)</f>
        <v>1</v>
      </c>
      <c r="L56" s="14">
        <f>vlookup(D56,'upcoming, not in GEM'!A:D,4,false)</f>
        <v>124.8</v>
      </c>
      <c r="N56" s="14" t="str">
        <f>vlookup(D56,'upcoming, not in GEM'!A:B,2,false)</f>
        <v>North Sulawesi</v>
      </c>
      <c r="O56" s="19" t="s">
        <v>48</v>
      </c>
      <c r="R56" s="21" t="s">
        <v>62</v>
      </c>
      <c r="S56" s="21" t="s">
        <v>69</v>
      </c>
      <c r="T56" s="31" t="s">
        <v>69</v>
      </c>
      <c r="U56" s="21" t="s">
        <v>144</v>
      </c>
      <c r="AL56" s="19" t="s">
        <v>53</v>
      </c>
      <c r="AN56" s="21" t="s">
        <v>53</v>
      </c>
    </row>
    <row r="57">
      <c r="A57" s="21" t="s">
        <v>168</v>
      </c>
      <c r="B57" s="21" t="s">
        <v>169</v>
      </c>
      <c r="C57" s="32" t="s">
        <v>170</v>
      </c>
      <c r="D57" s="27" t="s">
        <v>171</v>
      </c>
      <c r="E57" s="28">
        <v>100.0</v>
      </c>
      <c r="F57" s="21" t="s">
        <v>118</v>
      </c>
      <c r="G57" s="14">
        <f t="shared" ref="G57:G58" si="7">H57</f>
        <v>2027</v>
      </c>
      <c r="H57" s="29">
        <v>2027.0</v>
      </c>
      <c r="I57" s="30"/>
      <c r="J57" s="21" t="s">
        <v>119</v>
      </c>
      <c r="K57" s="14">
        <f>vlookup(D57,'upcoming, not in GEM'!A:D,3,false)</f>
        <v>-1.5</v>
      </c>
      <c r="L57" s="14">
        <f>vlookup(D57,'upcoming, not in GEM'!A:D,4,false)</f>
        <v>113.5</v>
      </c>
      <c r="N57" s="14" t="str">
        <f>vlookup(D57,'upcoming, not in GEM'!A:B,2,false)</f>
        <v>Central Kalimantan</v>
      </c>
      <c r="O57" s="19" t="s">
        <v>48</v>
      </c>
      <c r="R57" s="14" t="s">
        <v>49</v>
      </c>
      <c r="S57" s="14" t="s">
        <v>69</v>
      </c>
      <c r="T57" s="20" t="s">
        <v>69</v>
      </c>
      <c r="U57" s="21" t="s">
        <v>70</v>
      </c>
      <c r="AL57" s="19" t="s">
        <v>53</v>
      </c>
      <c r="AN57" s="21" t="s">
        <v>53</v>
      </c>
    </row>
    <row r="58">
      <c r="A58" s="21" t="s">
        <v>151</v>
      </c>
      <c r="B58" s="21" t="s">
        <v>172</v>
      </c>
      <c r="C58" s="32" t="s">
        <v>153</v>
      </c>
      <c r="D58" s="27" t="s">
        <v>173</v>
      </c>
      <c r="E58" s="28">
        <v>100.0</v>
      </c>
      <c r="F58" s="21" t="s">
        <v>118</v>
      </c>
      <c r="G58" s="14">
        <f t="shared" si="7"/>
        <v>2027</v>
      </c>
      <c r="H58" s="29">
        <v>2027.0</v>
      </c>
      <c r="I58" s="30"/>
      <c r="J58" s="21" t="s">
        <v>119</v>
      </c>
      <c r="K58" s="14">
        <f>vlookup(D58,'upcoming, not in GEM'!A:D,3,false)</f>
        <v>3</v>
      </c>
      <c r="L58" s="14">
        <f>vlookup(D58,'upcoming, not in GEM'!A:D,4,false)</f>
        <v>116</v>
      </c>
      <c r="N58" s="14" t="str">
        <f>vlookup(D58,'upcoming, not in GEM'!A:B,2,false)</f>
        <v>North Kalimantan and East Kalimantan</v>
      </c>
      <c r="O58" s="19" t="s">
        <v>48</v>
      </c>
      <c r="R58" s="21" t="s">
        <v>62</v>
      </c>
      <c r="S58" s="21" t="s">
        <v>69</v>
      </c>
      <c r="T58" s="31" t="s">
        <v>69</v>
      </c>
      <c r="U58" s="21" t="s">
        <v>144</v>
      </c>
      <c r="AL58" s="19" t="s">
        <v>53</v>
      </c>
      <c r="AN58" s="21" t="s">
        <v>53</v>
      </c>
    </row>
    <row r="59">
      <c r="A59" s="15" t="s">
        <v>174</v>
      </c>
      <c r="B59" s="15" t="s">
        <v>175</v>
      </c>
      <c r="C59" s="16" t="s">
        <v>176</v>
      </c>
      <c r="D59" s="27" t="s">
        <v>177</v>
      </c>
      <c r="E59" s="28">
        <v>100.0</v>
      </c>
      <c r="F59" s="21" t="s">
        <v>118</v>
      </c>
      <c r="G59" s="14">
        <f t="shared" ref="G59:G62" si="8">I59</f>
        <v>2027</v>
      </c>
      <c r="H59" s="28">
        <v>2027.0</v>
      </c>
      <c r="I59" s="29">
        <v>2027.0</v>
      </c>
      <c r="J59" s="21" t="s">
        <v>119</v>
      </c>
      <c r="K59" s="14">
        <f>vlookup(D59,'upcoming, not in GEM'!A:D,3,false)</f>
        <v>-8.5</v>
      </c>
      <c r="L59" s="14">
        <f>vlookup(D59,'upcoming, not in GEM'!A:D,4,false)</f>
        <v>116.3</v>
      </c>
      <c r="N59" s="14" t="str">
        <f>vlookup(D59,'upcoming, not in GEM'!A:B,2,false)</f>
        <v>West Nusa Tenggara (Lombok Island)</v>
      </c>
      <c r="O59" s="19" t="s">
        <v>48</v>
      </c>
      <c r="R59" s="14" t="s">
        <v>49</v>
      </c>
      <c r="S59" s="14" t="s">
        <v>69</v>
      </c>
      <c r="T59" s="20" t="s">
        <v>69</v>
      </c>
      <c r="U59" s="21" t="s">
        <v>52</v>
      </c>
      <c r="AL59" s="19" t="s">
        <v>53</v>
      </c>
      <c r="AN59" s="21" t="s">
        <v>53</v>
      </c>
    </row>
    <row r="60">
      <c r="D60" s="27" t="s">
        <v>178</v>
      </c>
      <c r="E60" s="28">
        <v>100.0</v>
      </c>
      <c r="F60" s="21" t="s">
        <v>118</v>
      </c>
      <c r="G60" s="14">
        <f t="shared" si="8"/>
        <v>2027</v>
      </c>
      <c r="H60" s="30"/>
      <c r="I60" s="29">
        <v>2027.0</v>
      </c>
      <c r="J60" s="21" t="s">
        <v>119</v>
      </c>
      <c r="K60" s="14">
        <f>vlookup(D60,'upcoming, not in GEM'!A:D,3,false)</f>
        <v>3</v>
      </c>
      <c r="L60" s="14">
        <f>vlookup(D60,'upcoming, not in GEM'!A:D,4,false)</f>
        <v>116</v>
      </c>
      <c r="N60" s="14" t="str">
        <f>vlookup(D60,'upcoming, not in GEM'!A:B,2,false)</f>
        <v>North Kalimantan and East Kalimantan</v>
      </c>
      <c r="O60" s="19" t="s">
        <v>48</v>
      </c>
      <c r="AL60" s="19" t="s">
        <v>53</v>
      </c>
    </row>
    <row r="61">
      <c r="A61" s="21" t="s">
        <v>147</v>
      </c>
      <c r="B61" s="21" t="s">
        <v>179</v>
      </c>
      <c r="C61" s="32" t="s">
        <v>149</v>
      </c>
      <c r="D61" s="27" t="s">
        <v>180</v>
      </c>
      <c r="E61" s="28">
        <v>100.0</v>
      </c>
      <c r="F61" s="21" t="s">
        <v>118</v>
      </c>
      <c r="G61" s="14">
        <f t="shared" si="8"/>
        <v>2027</v>
      </c>
      <c r="H61" s="30"/>
      <c r="I61" s="29">
        <v>2027.0</v>
      </c>
      <c r="J61" s="21" t="s">
        <v>119</v>
      </c>
      <c r="K61" s="14">
        <f>vlookup(D61,'upcoming, not in GEM'!A:D,3,false)</f>
        <v>-3</v>
      </c>
      <c r="L61" s="14">
        <f>vlookup(D61,'upcoming, not in GEM'!A:D,4,false)</f>
        <v>114.5</v>
      </c>
      <c r="N61" s="14" t="str">
        <f>vlookup(D61,'upcoming, not in GEM'!A:B,2,false)</f>
        <v>South Kalimantan and Central Kalimantan</v>
      </c>
      <c r="O61" s="19" t="s">
        <v>48</v>
      </c>
      <c r="R61" s="21" t="s">
        <v>62</v>
      </c>
      <c r="S61" s="21" t="s">
        <v>69</v>
      </c>
      <c r="T61" s="31" t="s">
        <v>69</v>
      </c>
      <c r="U61" s="21" t="s">
        <v>144</v>
      </c>
      <c r="AL61" s="19" t="s">
        <v>53</v>
      </c>
      <c r="AN61" s="21" t="s">
        <v>53</v>
      </c>
    </row>
    <row r="62">
      <c r="A62" s="21" t="s">
        <v>98</v>
      </c>
      <c r="B62" s="21" t="s">
        <v>99</v>
      </c>
      <c r="C62" s="32" t="s">
        <v>100</v>
      </c>
      <c r="D62" s="27" t="s">
        <v>181</v>
      </c>
      <c r="E62" s="28">
        <v>100.0</v>
      </c>
      <c r="F62" s="21" t="s">
        <v>118</v>
      </c>
      <c r="G62" s="14">
        <f t="shared" si="8"/>
        <v>2028</v>
      </c>
      <c r="H62" s="28">
        <v>2028.0</v>
      </c>
      <c r="I62" s="29">
        <v>2028.0</v>
      </c>
      <c r="J62" s="21" t="s">
        <v>119</v>
      </c>
      <c r="K62" s="14">
        <f>vlookup(D62,'upcoming, not in GEM'!A:D,3,false)</f>
        <v>-7</v>
      </c>
      <c r="L62" s="14">
        <f>vlookup(D62,'upcoming, not in GEM'!A:D,4,false)</f>
        <v>113.3</v>
      </c>
      <c r="N62" s="14" t="str">
        <f>vlookup(D62,'upcoming, not in GEM'!A:B,2,false)</f>
        <v>East Java (Madura Island)</v>
      </c>
      <c r="O62" s="19" t="s">
        <v>48</v>
      </c>
      <c r="R62" s="14" t="s">
        <v>49</v>
      </c>
      <c r="S62" s="21" t="s">
        <v>69</v>
      </c>
      <c r="T62" s="31" t="s">
        <v>69</v>
      </c>
      <c r="U62" s="21" t="s">
        <v>70</v>
      </c>
      <c r="AL62" s="19" t="s">
        <v>53</v>
      </c>
      <c r="AN62" s="21" t="s">
        <v>53</v>
      </c>
    </row>
    <row r="63">
      <c r="A63" s="21" t="s">
        <v>182</v>
      </c>
      <c r="B63" s="21" t="s">
        <v>183</v>
      </c>
      <c r="C63" s="32" t="s">
        <v>184</v>
      </c>
      <c r="D63" s="27" t="s">
        <v>185</v>
      </c>
      <c r="E63" s="28">
        <v>100.0</v>
      </c>
      <c r="F63" s="21" t="s">
        <v>118</v>
      </c>
      <c r="G63" s="14">
        <f>H63</f>
        <v>2029</v>
      </c>
      <c r="H63" s="29">
        <v>2029.0</v>
      </c>
      <c r="I63" s="30"/>
      <c r="J63" s="21" t="s">
        <v>119</v>
      </c>
      <c r="K63" s="14">
        <f>vlookup(D63,'upcoming, not in GEM'!A:D,3,false)</f>
        <v>-0.5</v>
      </c>
      <c r="L63" s="14">
        <f>vlookup(D63,'upcoming, not in GEM'!A:D,4,false)</f>
        <v>114.5</v>
      </c>
      <c r="N63" s="14" t="str">
        <f>vlookup(D63,'upcoming, not in GEM'!A:B,2,false)</f>
        <v>Kalimantan Region (various)</v>
      </c>
      <c r="O63" s="19" t="s">
        <v>48</v>
      </c>
      <c r="T63" s="20"/>
      <c r="AL63" s="19" t="s">
        <v>53</v>
      </c>
      <c r="AN63" s="21" t="s">
        <v>53</v>
      </c>
    </row>
    <row r="64">
      <c r="A64" s="21" t="s">
        <v>98</v>
      </c>
      <c r="B64" s="21" t="s">
        <v>186</v>
      </c>
      <c r="C64" s="32" t="s">
        <v>100</v>
      </c>
      <c r="D64" s="27" t="s">
        <v>181</v>
      </c>
      <c r="E64" s="28">
        <v>100.0</v>
      </c>
      <c r="F64" s="21" t="s">
        <v>118</v>
      </c>
      <c r="G64" s="14">
        <f t="shared" ref="G64:G68" si="9">I64</f>
        <v>2029</v>
      </c>
      <c r="H64" s="28">
        <v>2029.0</v>
      </c>
      <c r="I64" s="29">
        <v>2029.0</v>
      </c>
      <c r="J64" s="21" t="s">
        <v>119</v>
      </c>
      <c r="K64" s="14">
        <f>vlookup(D64,'upcoming, not in GEM'!A:D,3,false)</f>
        <v>-7</v>
      </c>
      <c r="L64" s="14">
        <f>vlookup(D64,'upcoming, not in GEM'!A:D,4,false)</f>
        <v>113.3</v>
      </c>
      <c r="N64" s="14" t="str">
        <f>vlookup(D64,'upcoming, not in GEM'!A:B,2,false)</f>
        <v>East Java (Madura Island)</v>
      </c>
      <c r="O64" s="19" t="s">
        <v>48</v>
      </c>
      <c r="R64" s="14" t="s">
        <v>49</v>
      </c>
      <c r="S64" s="21" t="s">
        <v>69</v>
      </c>
      <c r="T64" s="31" t="s">
        <v>69</v>
      </c>
      <c r="U64" s="21" t="s">
        <v>70</v>
      </c>
      <c r="AL64" s="19" t="s">
        <v>53</v>
      </c>
      <c r="AN64" s="21" t="s">
        <v>53</v>
      </c>
    </row>
    <row r="65">
      <c r="A65" s="21" t="s">
        <v>187</v>
      </c>
      <c r="B65" s="21" t="s">
        <v>188</v>
      </c>
      <c r="C65" s="32" t="s">
        <v>189</v>
      </c>
      <c r="D65" s="27" t="s">
        <v>190</v>
      </c>
      <c r="E65" s="28">
        <v>100.0</v>
      </c>
      <c r="F65" s="21" t="s">
        <v>118</v>
      </c>
      <c r="G65" s="14">
        <f t="shared" si="9"/>
        <v>2030</v>
      </c>
      <c r="H65" s="28">
        <v>2030.0</v>
      </c>
      <c r="I65" s="29">
        <v>2030.0</v>
      </c>
      <c r="J65" s="21" t="s">
        <v>124</v>
      </c>
      <c r="K65" s="14">
        <f>vlookup(D65,'upcoming, not in GEM'!A:D,3,false)</f>
        <v>-8.5</v>
      </c>
      <c r="L65" s="14">
        <f>vlookup(D65,'upcoming, not in GEM'!A:D,4,false)</f>
        <v>116.3</v>
      </c>
      <c r="N65" s="14" t="str">
        <f>vlookup(D65,'upcoming, not in GEM'!A:B,2,false)</f>
        <v>West Nusa Tenggara (Lombok Island)</v>
      </c>
      <c r="O65" s="19" t="s">
        <v>48</v>
      </c>
      <c r="T65" s="20"/>
      <c r="AL65" s="19" t="s">
        <v>53</v>
      </c>
      <c r="AN65" s="21" t="s">
        <v>53</v>
      </c>
    </row>
    <row r="66">
      <c r="A66" s="15" t="s">
        <v>191</v>
      </c>
      <c r="B66" s="15" t="s">
        <v>192</v>
      </c>
      <c r="C66" s="32" t="s">
        <v>193</v>
      </c>
      <c r="D66" s="24" t="s">
        <v>117</v>
      </c>
      <c r="E66" s="28">
        <v>105.0</v>
      </c>
      <c r="F66" s="21" t="s">
        <v>118</v>
      </c>
      <c r="G66" s="14">
        <f t="shared" si="9"/>
        <v>2025</v>
      </c>
      <c r="H66" s="28">
        <v>2025.0</v>
      </c>
      <c r="I66" s="29">
        <v>2025.0</v>
      </c>
      <c r="J66" s="21" t="s">
        <v>119</v>
      </c>
      <c r="K66" s="14">
        <f>vlookup(D66,'upcoming, not in GEM'!A:D,3,false)</f>
        <v>0</v>
      </c>
      <c r="L66" s="14">
        <f>vlookup(D66,'upcoming, not in GEM'!A:D,4,false)</f>
        <v>111</v>
      </c>
      <c r="N66" s="14" t="str">
        <f>vlookup(D66,'upcoming, not in GEM'!A:B,2,false)</f>
        <v>West Kalimantan</v>
      </c>
      <c r="O66" s="19" t="s">
        <v>48</v>
      </c>
      <c r="T66" s="20"/>
      <c r="AL66" s="19" t="s">
        <v>53</v>
      </c>
      <c r="AN66" s="21" t="s">
        <v>53</v>
      </c>
    </row>
    <row r="67">
      <c r="A67" s="15" t="s">
        <v>194</v>
      </c>
      <c r="B67" s="15" t="s">
        <v>195</v>
      </c>
      <c r="C67" s="16" t="s">
        <v>196</v>
      </c>
      <c r="D67" s="27" t="s">
        <v>197</v>
      </c>
      <c r="E67" s="28">
        <v>120.0</v>
      </c>
      <c r="F67" s="21" t="s">
        <v>118</v>
      </c>
      <c r="G67" s="14">
        <f t="shared" si="9"/>
        <v>2025</v>
      </c>
      <c r="H67" s="28">
        <v>2025.0</v>
      </c>
      <c r="I67" s="29">
        <v>2025.0</v>
      </c>
      <c r="J67" s="21" t="s">
        <v>119</v>
      </c>
      <c r="K67" s="14">
        <f>vlookup(D67,'upcoming, not in GEM'!A:D,3,false)</f>
        <v>-3.5</v>
      </c>
      <c r="L67" s="14">
        <f>vlookup(D67,'upcoming, not in GEM'!A:D,4,false)</f>
        <v>120</v>
      </c>
      <c r="N67" s="14" t="str">
        <f>vlookup(D67,'upcoming, not in GEM'!A:B,2,false)</f>
        <v>South Sulawesi and West Sulawesi</v>
      </c>
      <c r="O67" s="19" t="s">
        <v>48</v>
      </c>
      <c r="R67" s="14" t="s">
        <v>62</v>
      </c>
      <c r="S67" s="14" t="s">
        <v>69</v>
      </c>
      <c r="T67" s="31" t="s">
        <v>69</v>
      </c>
      <c r="U67" s="21" t="s">
        <v>63</v>
      </c>
      <c r="AL67" s="19" t="s">
        <v>53</v>
      </c>
      <c r="AN67" s="21" t="s">
        <v>53</v>
      </c>
    </row>
    <row r="68">
      <c r="A68" s="21" t="s">
        <v>198</v>
      </c>
      <c r="B68" s="21" t="s">
        <v>199</v>
      </c>
      <c r="C68" s="32" t="s">
        <v>200</v>
      </c>
      <c r="D68" s="27" t="s">
        <v>201</v>
      </c>
      <c r="E68" s="28">
        <v>150.0</v>
      </c>
      <c r="F68" s="21" t="s">
        <v>118</v>
      </c>
      <c r="G68" s="14">
        <f t="shared" si="9"/>
        <v>2026</v>
      </c>
      <c r="H68" s="28">
        <v>2026.0</v>
      </c>
      <c r="I68" s="29">
        <v>2026.0</v>
      </c>
      <c r="J68" s="21" t="s">
        <v>119</v>
      </c>
      <c r="K68" s="14">
        <f>vlookup(D68,'upcoming, not in GEM'!A:D,3,false)</f>
        <v>-3.5</v>
      </c>
      <c r="L68" s="14">
        <f>vlookup(D68,'upcoming, not in GEM'!A:D,4,false)</f>
        <v>103.5</v>
      </c>
      <c r="N68" s="14" t="str">
        <f>vlookup(D68,'upcoming, not in GEM'!A:B,2,false)</f>
        <v>South Sumatra Region</v>
      </c>
      <c r="O68" s="19" t="s">
        <v>129</v>
      </c>
      <c r="R68" s="14" t="s">
        <v>49</v>
      </c>
      <c r="S68" s="14" t="s">
        <v>69</v>
      </c>
      <c r="T68" s="20" t="s">
        <v>69</v>
      </c>
      <c r="U68" s="21" t="s">
        <v>70</v>
      </c>
      <c r="AL68" s="19" t="s">
        <v>53</v>
      </c>
      <c r="AN68" s="21" t="s">
        <v>53</v>
      </c>
    </row>
    <row r="69">
      <c r="A69" s="21" t="s">
        <v>202</v>
      </c>
      <c r="B69" s="21" t="s">
        <v>203</v>
      </c>
      <c r="C69" s="32" t="s">
        <v>204</v>
      </c>
      <c r="D69" s="27" t="s">
        <v>205</v>
      </c>
      <c r="E69" s="28">
        <v>150.0</v>
      </c>
      <c r="F69" s="21" t="s">
        <v>118</v>
      </c>
      <c r="G69" s="14">
        <f>H69</f>
        <v>2028</v>
      </c>
      <c r="H69" s="29">
        <v>2028.0</v>
      </c>
      <c r="I69" s="30"/>
      <c r="J69" s="21" t="s">
        <v>119</v>
      </c>
      <c r="K69" s="21">
        <v>-1.370796</v>
      </c>
      <c r="L69" s="21">
        <v>113.567203</v>
      </c>
      <c r="N69" s="14" t="str">
        <f>vlookup(D69,'upcoming, not in GEM'!A:B,2,false)</f>
        <v>Kalimantan Region (various)</v>
      </c>
      <c r="O69" s="19" t="s">
        <v>48</v>
      </c>
      <c r="R69" s="14" t="s">
        <v>49</v>
      </c>
      <c r="S69" s="21" t="s">
        <v>69</v>
      </c>
      <c r="T69" s="31" t="s">
        <v>69</v>
      </c>
      <c r="U69" s="21" t="s">
        <v>70</v>
      </c>
      <c r="AL69" s="19" t="s">
        <v>53</v>
      </c>
      <c r="AN69" s="21" t="s">
        <v>53</v>
      </c>
    </row>
    <row r="70">
      <c r="A70" s="21" t="s">
        <v>206</v>
      </c>
      <c r="B70" s="21" t="s">
        <v>207</v>
      </c>
      <c r="C70" s="32" t="s">
        <v>208</v>
      </c>
      <c r="D70" s="27" t="s">
        <v>209</v>
      </c>
      <c r="E70" s="28">
        <v>157.0</v>
      </c>
      <c r="F70" s="21" t="s">
        <v>118</v>
      </c>
      <c r="G70" s="14">
        <f t="shared" ref="G70:G91" si="10">I70</f>
        <v>2025</v>
      </c>
      <c r="H70" s="28">
        <v>2025.0</v>
      </c>
      <c r="I70" s="29">
        <v>2025.0</v>
      </c>
      <c r="J70" s="21" t="s">
        <v>119</v>
      </c>
      <c r="K70" s="14">
        <f>vlookup(D70,'upcoming, not in GEM'!A:D,3,false)</f>
        <v>-0.5</v>
      </c>
      <c r="L70" s="14">
        <f>vlookup(D70,'upcoming, not in GEM'!A:D,4,false)</f>
        <v>114.5</v>
      </c>
      <c r="N70" s="14" t="str">
        <f>vlookup(D70,'upcoming, not in GEM'!A:B,2,false)</f>
        <v>Kalimantan Region (various)</v>
      </c>
      <c r="O70" s="19" t="s">
        <v>48</v>
      </c>
      <c r="R70" s="14" t="s">
        <v>62</v>
      </c>
      <c r="S70" s="21" t="s">
        <v>69</v>
      </c>
      <c r="T70" s="31" t="s">
        <v>69</v>
      </c>
      <c r="U70" s="21" t="s">
        <v>144</v>
      </c>
      <c r="AL70" s="19" t="s">
        <v>53</v>
      </c>
      <c r="AN70" s="21" t="s">
        <v>53</v>
      </c>
    </row>
    <row r="71">
      <c r="A71" s="15" t="s">
        <v>210</v>
      </c>
      <c r="B71" s="15" t="s">
        <v>211</v>
      </c>
      <c r="C71" s="16" t="s">
        <v>212</v>
      </c>
      <c r="D71" s="27" t="s">
        <v>213</v>
      </c>
      <c r="E71" s="28">
        <v>200.0</v>
      </c>
      <c r="F71" s="21" t="s">
        <v>118</v>
      </c>
      <c r="G71" s="14">
        <f t="shared" si="10"/>
        <v>2025</v>
      </c>
      <c r="H71" s="28">
        <v>2025.0</v>
      </c>
      <c r="I71" s="29">
        <v>2025.0</v>
      </c>
      <c r="J71" s="21" t="s">
        <v>119</v>
      </c>
      <c r="K71" s="14">
        <f>vlookup(D71,'upcoming, not in GEM'!A:D,3,false)</f>
        <v>-3.5</v>
      </c>
      <c r="L71" s="14">
        <f>vlookup(D71,'upcoming, not in GEM'!A:D,4,false)</f>
        <v>120</v>
      </c>
      <c r="N71" s="14" t="str">
        <f>vlookup(D71,'upcoming, not in GEM'!A:B,2,false)</f>
        <v>South Sulawesi and West Sulawesi</v>
      </c>
      <c r="O71" s="19" t="s">
        <v>48</v>
      </c>
      <c r="R71" s="14" t="s">
        <v>49</v>
      </c>
      <c r="S71" s="14" t="s">
        <v>69</v>
      </c>
      <c r="T71" s="20" t="s">
        <v>69</v>
      </c>
      <c r="U71" s="21" t="s">
        <v>70</v>
      </c>
      <c r="AL71" s="19" t="s">
        <v>53</v>
      </c>
      <c r="AN71" s="21" t="s">
        <v>53</v>
      </c>
    </row>
    <row r="72">
      <c r="A72" s="19" t="s">
        <v>214</v>
      </c>
      <c r="B72" s="19" t="s">
        <v>215</v>
      </c>
      <c r="C72" s="32" t="s">
        <v>216</v>
      </c>
      <c r="D72" s="27" t="s">
        <v>217</v>
      </c>
      <c r="E72" s="28">
        <v>200.0</v>
      </c>
      <c r="F72" s="21" t="s">
        <v>118</v>
      </c>
      <c r="G72" s="14">
        <f t="shared" si="10"/>
        <v>2025</v>
      </c>
      <c r="H72" s="28">
        <v>2025.0</v>
      </c>
      <c r="I72" s="29">
        <v>2025.0</v>
      </c>
      <c r="J72" s="21" t="s">
        <v>119</v>
      </c>
      <c r="K72" s="14">
        <f>vlookup(D72,'upcoming, not in GEM'!A:D,3,false)</f>
        <v>-6.7</v>
      </c>
      <c r="L72" s="14">
        <f>vlookup(D72,'upcoming, not in GEM'!A:D,4,false)</f>
        <v>107.5</v>
      </c>
      <c r="N72" s="14" t="str">
        <f>vlookup(D72,'upcoming, not in GEM'!A:B,2,false)</f>
        <v>Varies, possibly Java or Sumatra</v>
      </c>
      <c r="O72" s="19" t="s">
        <v>48</v>
      </c>
      <c r="T72" s="20"/>
      <c r="AL72" s="19" t="s">
        <v>53</v>
      </c>
      <c r="AN72" s="21" t="s">
        <v>53</v>
      </c>
    </row>
    <row r="73">
      <c r="A73" s="19" t="s">
        <v>218</v>
      </c>
      <c r="B73" s="19" t="s">
        <v>219</v>
      </c>
      <c r="C73" s="32" t="s">
        <v>220</v>
      </c>
      <c r="D73" s="27" t="s">
        <v>221</v>
      </c>
      <c r="E73" s="28">
        <v>200.0</v>
      </c>
      <c r="F73" s="21" t="s">
        <v>118</v>
      </c>
      <c r="G73" s="14">
        <f t="shared" si="10"/>
        <v>2025</v>
      </c>
      <c r="H73" s="28">
        <v>2025.0</v>
      </c>
      <c r="I73" s="29">
        <v>2025.0</v>
      </c>
      <c r="J73" s="21" t="s">
        <v>119</v>
      </c>
      <c r="K73" s="14">
        <f>vlookup(D73,'upcoming, not in GEM'!A:D,3,false)</f>
        <v>-6.7</v>
      </c>
      <c r="L73" s="14">
        <f>vlookup(D73,'upcoming, not in GEM'!A:D,4,false)</f>
        <v>107.5</v>
      </c>
      <c r="N73" s="14" t="str">
        <f>vlookup(D73,'upcoming, not in GEM'!A:B,2,false)</f>
        <v>Varies, possibly Java or Sumatra</v>
      </c>
      <c r="O73" s="19" t="s">
        <v>48</v>
      </c>
      <c r="T73" s="20"/>
      <c r="AL73" s="19" t="s">
        <v>53</v>
      </c>
      <c r="AN73" s="21" t="s">
        <v>53</v>
      </c>
    </row>
    <row r="74">
      <c r="A74" s="19" t="s">
        <v>222</v>
      </c>
      <c r="B74" s="19" t="s">
        <v>223</v>
      </c>
      <c r="C74" s="34" t="s">
        <v>224</v>
      </c>
      <c r="D74" s="27" t="s">
        <v>225</v>
      </c>
      <c r="E74" s="28">
        <v>200.0</v>
      </c>
      <c r="F74" s="21" t="s">
        <v>118</v>
      </c>
      <c r="G74" s="14">
        <f t="shared" si="10"/>
        <v>2025</v>
      </c>
      <c r="H74" s="28">
        <v>2025.0</v>
      </c>
      <c r="I74" s="29">
        <v>2025.0</v>
      </c>
      <c r="J74" s="21" t="s">
        <v>119</v>
      </c>
      <c r="K74" s="14">
        <f>vlookup(D74,'upcoming, not in GEM'!A:D,3,false)</f>
        <v>-6.7</v>
      </c>
      <c r="L74" s="14">
        <f>vlookup(D74,'upcoming, not in GEM'!A:D,4,false)</f>
        <v>107.5</v>
      </c>
      <c r="N74" s="14" t="str">
        <f>vlookup(D74,'upcoming, not in GEM'!A:B,2,false)</f>
        <v>Varies, possibly Java or Sumatra</v>
      </c>
      <c r="O74" s="19" t="s">
        <v>48</v>
      </c>
      <c r="T74" s="20"/>
      <c r="AL74" s="19" t="s">
        <v>53</v>
      </c>
      <c r="AN74" s="21" t="s">
        <v>53</v>
      </c>
    </row>
    <row r="75">
      <c r="A75" s="21" t="s">
        <v>226</v>
      </c>
      <c r="B75" s="21" t="s">
        <v>227</v>
      </c>
      <c r="C75" s="32" t="s">
        <v>228</v>
      </c>
      <c r="D75" s="27" t="s">
        <v>229</v>
      </c>
      <c r="E75" s="28">
        <v>200.0</v>
      </c>
      <c r="F75" s="21" t="s">
        <v>118</v>
      </c>
      <c r="G75" s="14">
        <f t="shared" si="10"/>
        <v>2026</v>
      </c>
      <c r="H75" s="28">
        <v>2026.0</v>
      </c>
      <c r="I75" s="29">
        <v>2026.0</v>
      </c>
      <c r="J75" s="21" t="s">
        <v>119</v>
      </c>
      <c r="K75" s="14">
        <f>vlookup(D75,'upcoming, not in GEM'!A:D,3,false)</f>
        <v>-8.3</v>
      </c>
      <c r="L75" s="14">
        <f>vlookup(D75,'upcoming, not in GEM'!A:D,4,false)</f>
        <v>115.2</v>
      </c>
      <c r="N75" s="14" t="str">
        <f>vlookup(D75,'upcoming, not in GEM'!A:B,2,false)</f>
        <v>Bali</v>
      </c>
      <c r="O75" s="19" t="s">
        <v>48</v>
      </c>
      <c r="R75" s="14" t="s">
        <v>62</v>
      </c>
      <c r="S75" s="14" t="s">
        <v>69</v>
      </c>
      <c r="T75" s="31" t="s">
        <v>69</v>
      </c>
      <c r="U75" s="21" t="s">
        <v>63</v>
      </c>
      <c r="AL75" s="19" t="s">
        <v>53</v>
      </c>
      <c r="AN75" s="21" t="s">
        <v>53</v>
      </c>
    </row>
    <row r="76">
      <c r="A76" s="21" t="s">
        <v>230</v>
      </c>
      <c r="B76" s="21" t="s">
        <v>231</v>
      </c>
      <c r="C76" s="32" t="s">
        <v>232</v>
      </c>
      <c r="D76" s="27" t="s">
        <v>233</v>
      </c>
      <c r="E76" s="28">
        <v>200.0</v>
      </c>
      <c r="F76" s="21" t="s">
        <v>118</v>
      </c>
      <c r="G76" s="14">
        <f t="shared" si="10"/>
        <v>2027</v>
      </c>
      <c r="H76" s="28">
        <v>2027.0</v>
      </c>
      <c r="I76" s="29">
        <v>2027.0</v>
      </c>
      <c r="J76" s="21" t="s">
        <v>119</v>
      </c>
      <c r="K76" s="14">
        <f>vlookup(D76,'upcoming, not in GEM'!A:D,3,false)</f>
        <v>-6.7</v>
      </c>
      <c r="L76" s="14">
        <f>vlookup(D76,'upcoming, not in GEM'!A:D,4,false)</f>
        <v>107.5</v>
      </c>
      <c r="N76" s="14" t="str">
        <f>vlookup(D76,'upcoming, not in GEM'!A:B,2,false)</f>
        <v>Varies, typically Java or Sumatra</v>
      </c>
      <c r="O76" s="19" t="s">
        <v>48</v>
      </c>
      <c r="R76" s="21" t="s">
        <v>49</v>
      </c>
      <c r="S76" s="21" t="s">
        <v>69</v>
      </c>
      <c r="T76" s="31" t="s">
        <v>69</v>
      </c>
      <c r="U76" s="21" t="s">
        <v>70</v>
      </c>
      <c r="AL76" s="19" t="s">
        <v>53</v>
      </c>
      <c r="AN76" s="21" t="s">
        <v>53</v>
      </c>
    </row>
    <row r="77">
      <c r="A77" s="19" t="s">
        <v>214</v>
      </c>
      <c r="B77" s="19" t="s">
        <v>234</v>
      </c>
      <c r="C77" s="32" t="s">
        <v>216</v>
      </c>
      <c r="D77" s="27" t="s">
        <v>217</v>
      </c>
      <c r="E77" s="28">
        <v>200.0</v>
      </c>
      <c r="F77" s="21" t="s">
        <v>118</v>
      </c>
      <c r="G77" s="14">
        <f t="shared" si="10"/>
        <v>2030</v>
      </c>
      <c r="H77" s="28">
        <v>2030.0</v>
      </c>
      <c r="I77" s="29">
        <v>2030.0</v>
      </c>
      <c r="J77" s="21" t="s">
        <v>124</v>
      </c>
      <c r="K77" s="14">
        <f>vlookup(D77,'upcoming, not in GEM'!A:D,3,false)</f>
        <v>-6.7</v>
      </c>
      <c r="L77" s="14">
        <f>vlookup(D77,'upcoming, not in GEM'!A:D,4,false)</f>
        <v>107.5</v>
      </c>
      <c r="N77" s="14" t="str">
        <f>vlookup(D77,'upcoming, not in GEM'!A:B,2,false)</f>
        <v>Varies, possibly Java or Sumatra</v>
      </c>
      <c r="O77" s="19" t="s">
        <v>48</v>
      </c>
      <c r="T77" s="20"/>
      <c r="AL77" s="19" t="s">
        <v>53</v>
      </c>
      <c r="AN77" s="21" t="s">
        <v>53</v>
      </c>
    </row>
    <row r="78">
      <c r="A78" s="19" t="s">
        <v>218</v>
      </c>
      <c r="B78" s="19" t="s">
        <v>235</v>
      </c>
      <c r="C78" s="32" t="s">
        <v>220</v>
      </c>
      <c r="D78" s="27" t="s">
        <v>221</v>
      </c>
      <c r="E78" s="28">
        <v>200.0</v>
      </c>
      <c r="F78" s="21" t="s">
        <v>118</v>
      </c>
      <c r="G78" s="14">
        <f t="shared" si="10"/>
        <v>2030</v>
      </c>
      <c r="H78" s="28">
        <v>2030.0</v>
      </c>
      <c r="I78" s="29">
        <v>2030.0</v>
      </c>
      <c r="J78" s="21" t="s">
        <v>124</v>
      </c>
      <c r="K78" s="14">
        <f>vlookup(D78,'upcoming, not in GEM'!A:D,3,false)</f>
        <v>-6.7</v>
      </c>
      <c r="L78" s="14">
        <f>vlookup(D78,'upcoming, not in GEM'!A:D,4,false)</f>
        <v>107.5</v>
      </c>
      <c r="N78" s="14" t="str">
        <f>vlookup(D78,'upcoming, not in GEM'!A:B,2,false)</f>
        <v>Varies, possibly Java or Sumatra</v>
      </c>
      <c r="O78" s="19" t="s">
        <v>48</v>
      </c>
      <c r="T78" s="20"/>
      <c r="AL78" s="19" t="s">
        <v>53</v>
      </c>
      <c r="AN78" s="21" t="s">
        <v>53</v>
      </c>
    </row>
    <row r="79">
      <c r="A79" s="19" t="s">
        <v>222</v>
      </c>
      <c r="B79" s="19" t="s">
        <v>236</v>
      </c>
      <c r="C79" s="34" t="s">
        <v>224</v>
      </c>
      <c r="D79" s="27" t="s">
        <v>225</v>
      </c>
      <c r="E79" s="28">
        <v>200.0</v>
      </c>
      <c r="F79" s="21" t="s">
        <v>118</v>
      </c>
      <c r="G79" s="14">
        <f t="shared" si="10"/>
        <v>2030</v>
      </c>
      <c r="H79" s="28">
        <v>2030.0</v>
      </c>
      <c r="I79" s="29">
        <v>2030.0</v>
      </c>
      <c r="J79" s="21" t="s">
        <v>124</v>
      </c>
      <c r="K79" s="14">
        <f>vlookup(D79,'upcoming, not in GEM'!A:D,3,false)</f>
        <v>-6.7</v>
      </c>
      <c r="L79" s="14">
        <f>vlookup(D79,'upcoming, not in GEM'!A:D,4,false)</f>
        <v>107.5</v>
      </c>
      <c r="N79" s="14" t="str">
        <f>vlookup(D79,'upcoming, not in GEM'!A:B,2,false)</f>
        <v>Varies, possibly Java or Sumatra</v>
      </c>
      <c r="O79" s="19" t="s">
        <v>48</v>
      </c>
      <c r="T79" s="20"/>
      <c r="AL79" s="19" t="s">
        <v>53</v>
      </c>
      <c r="AN79" s="21" t="s">
        <v>53</v>
      </c>
    </row>
    <row r="80">
      <c r="A80" s="14" t="s">
        <v>237</v>
      </c>
      <c r="B80" s="14" t="s">
        <v>238</v>
      </c>
      <c r="C80" s="16" t="s">
        <v>239</v>
      </c>
      <c r="D80" s="27" t="s">
        <v>240</v>
      </c>
      <c r="E80" s="28">
        <v>250.0</v>
      </c>
      <c r="F80" s="21" t="s">
        <v>118</v>
      </c>
      <c r="G80" s="14">
        <f t="shared" si="10"/>
        <v>2026</v>
      </c>
      <c r="H80" s="28">
        <v>2026.0</v>
      </c>
      <c r="I80" s="29">
        <v>2026.0</v>
      </c>
      <c r="J80" s="21" t="s">
        <v>119</v>
      </c>
      <c r="K80" s="21">
        <v>0.05798</v>
      </c>
      <c r="L80" s="21">
        <v>109.20362</v>
      </c>
      <c r="N80" s="14" t="str">
        <f>vlookup(D80,'upcoming, not in GEM'!A:B,2,false)</f>
        <v>West Kalimantan</v>
      </c>
      <c r="O80" s="19" t="s">
        <v>48</v>
      </c>
      <c r="R80" s="14" t="s">
        <v>49</v>
      </c>
      <c r="S80" s="14" t="s">
        <v>69</v>
      </c>
      <c r="T80" s="20" t="s">
        <v>69</v>
      </c>
      <c r="U80" s="21" t="s">
        <v>70</v>
      </c>
      <c r="AL80" s="19" t="s">
        <v>53</v>
      </c>
      <c r="AN80" s="21" t="s">
        <v>53</v>
      </c>
    </row>
    <row r="81">
      <c r="A81" s="21" t="s">
        <v>241</v>
      </c>
      <c r="B81" s="21" t="s">
        <v>242</v>
      </c>
      <c r="C81" s="32" t="s">
        <v>243</v>
      </c>
      <c r="D81" s="27" t="s">
        <v>244</v>
      </c>
      <c r="E81" s="28">
        <v>250.0</v>
      </c>
      <c r="F81" s="21" t="s">
        <v>118</v>
      </c>
      <c r="G81" s="14">
        <f t="shared" si="10"/>
        <v>2026</v>
      </c>
      <c r="H81" s="28">
        <v>2026.0</v>
      </c>
      <c r="I81" s="29">
        <v>2026.0</v>
      </c>
      <c r="J81" s="21" t="s">
        <v>119</v>
      </c>
      <c r="K81" s="14">
        <f>vlookup(D81,'upcoming, not in GEM'!A:D,3,false)</f>
        <v>-0.5</v>
      </c>
      <c r="L81" s="14">
        <f>vlookup(D81,'upcoming, not in GEM'!A:D,4,false)</f>
        <v>116.5</v>
      </c>
      <c r="N81" s="14" t="str">
        <f>vlookup(D81,'upcoming, not in GEM'!A:B,2,false)</f>
        <v>East Kalimantan</v>
      </c>
      <c r="O81" s="19" t="s">
        <v>48</v>
      </c>
      <c r="R81" s="14" t="s">
        <v>49</v>
      </c>
      <c r="S81" s="14" t="s">
        <v>69</v>
      </c>
      <c r="T81" s="20" t="s">
        <v>69</v>
      </c>
      <c r="U81" s="21" t="s">
        <v>70</v>
      </c>
      <c r="AL81" s="19" t="s">
        <v>53</v>
      </c>
      <c r="AN81" s="21" t="s">
        <v>53</v>
      </c>
    </row>
    <row r="82">
      <c r="A82" s="21" t="s">
        <v>98</v>
      </c>
      <c r="B82" s="21" t="s">
        <v>245</v>
      </c>
      <c r="C82" s="32" t="s">
        <v>100</v>
      </c>
      <c r="D82" s="27" t="s">
        <v>181</v>
      </c>
      <c r="E82" s="28">
        <v>265.0</v>
      </c>
      <c r="F82" s="21" t="s">
        <v>118</v>
      </c>
      <c r="G82" s="14">
        <f t="shared" si="10"/>
        <v>2030</v>
      </c>
      <c r="H82" s="28">
        <v>2030.0</v>
      </c>
      <c r="I82" s="29">
        <v>2030.0</v>
      </c>
      <c r="J82" s="21" t="s">
        <v>124</v>
      </c>
      <c r="K82" s="14">
        <f>vlookup(D82,'upcoming, not in GEM'!A:D,3,false)</f>
        <v>-7</v>
      </c>
      <c r="L82" s="14">
        <f>vlookup(D82,'upcoming, not in GEM'!A:D,4,false)</f>
        <v>113.3</v>
      </c>
      <c r="N82" s="14" t="str">
        <f>vlookup(D82,'upcoming, not in GEM'!A:B,2,false)</f>
        <v>East Java (Madura Island)</v>
      </c>
      <c r="O82" s="19" t="s">
        <v>48</v>
      </c>
      <c r="R82" s="14" t="s">
        <v>49</v>
      </c>
      <c r="S82" s="21" t="s">
        <v>69</v>
      </c>
      <c r="T82" s="31" t="s">
        <v>69</v>
      </c>
      <c r="U82" s="21" t="s">
        <v>70</v>
      </c>
      <c r="AL82" s="19" t="s">
        <v>53</v>
      </c>
      <c r="AN82" s="21" t="s">
        <v>53</v>
      </c>
    </row>
    <row r="83">
      <c r="A83" s="21" t="s">
        <v>246</v>
      </c>
      <c r="B83" s="21" t="s">
        <v>247</v>
      </c>
      <c r="C83" s="32" t="s">
        <v>248</v>
      </c>
      <c r="D83" s="24" t="s">
        <v>249</v>
      </c>
      <c r="E83" s="28">
        <v>280.0</v>
      </c>
      <c r="F83" s="21" t="s">
        <v>118</v>
      </c>
      <c r="G83" s="14">
        <f t="shared" si="10"/>
        <v>2025</v>
      </c>
      <c r="H83" s="28">
        <v>2025.0</v>
      </c>
      <c r="I83" s="29">
        <v>2025.0</v>
      </c>
      <c r="J83" s="21" t="s">
        <v>119</v>
      </c>
      <c r="K83" s="21">
        <v>-8.71645</v>
      </c>
      <c r="L83" s="21">
        <v>115.213325</v>
      </c>
      <c r="N83" s="14" t="str">
        <f>vlookup(D83,'upcoming, not in GEM'!A:B,2,false)</f>
        <v>Bali</v>
      </c>
      <c r="O83" s="19" t="s">
        <v>48</v>
      </c>
      <c r="R83" s="21" t="s">
        <v>49</v>
      </c>
      <c r="S83" s="21" t="s">
        <v>69</v>
      </c>
      <c r="T83" s="31" t="s">
        <v>69</v>
      </c>
      <c r="U83" s="21" t="s">
        <v>52</v>
      </c>
      <c r="AL83" s="19" t="s">
        <v>53</v>
      </c>
      <c r="AN83" s="21" t="s">
        <v>53</v>
      </c>
    </row>
    <row r="84">
      <c r="A84" s="15" t="s">
        <v>250</v>
      </c>
      <c r="B84" s="15" t="s">
        <v>251</v>
      </c>
      <c r="C84" s="16" t="s">
        <v>252</v>
      </c>
      <c r="D84" s="27" t="s">
        <v>253</v>
      </c>
      <c r="E84" s="28">
        <v>300.0</v>
      </c>
      <c r="F84" s="21" t="s">
        <v>118</v>
      </c>
      <c r="G84" s="14">
        <f t="shared" si="10"/>
        <v>2027</v>
      </c>
      <c r="H84" s="28">
        <v>2027.0</v>
      </c>
      <c r="I84" s="29">
        <v>2027.0</v>
      </c>
      <c r="J84" s="21" t="s">
        <v>119</v>
      </c>
      <c r="K84" s="14">
        <f>vlookup(D84,'upcoming, not in GEM'!A:D,3,false)</f>
        <v>-3.5</v>
      </c>
      <c r="L84" s="14">
        <f>vlookup(D84,'upcoming, not in GEM'!A:D,4,false)</f>
        <v>120</v>
      </c>
      <c r="N84" s="14" t="str">
        <f>vlookup(D84,'upcoming, not in GEM'!A:B,2,false)</f>
        <v>South Sulawesi and West Sulawesi</v>
      </c>
      <c r="O84" s="19" t="s">
        <v>129</v>
      </c>
      <c r="R84" s="21" t="s">
        <v>49</v>
      </c>
      <c r="S84" s="14" t="s">
        <v>69</v>
      </c>
      <c r="T84" s="20" t="s">
        <v>69</v>
      </c>
      <c r="U84" s="21" t="s">
        <v>70</v>
      </c>
      <c r="AL84" s="19" t="s">
        <v>53</v>
      </c>
      <c r="AN84" s="21" t="s">
        <v>53</v>
      </c>
    </row>
    <row r="85">
      <c r="A85" s="14" t="s">
        <v>254</v>
      </c>
      <c r="B85" s="14" t="s">
        <v>255</v>
      </c>
      <c r="C85" s="16" t="s">
        <v>256</v>
      </c>
      <c r="D85" s="27" t="s">
        <v>257</v>
      </c>
      <c r="E85" s="28">
        <v>300.0</v>
      </c>
      <c r="F85" s="21" t="s">
        <v>118</v>
      </c>
      <c r="G85" s="14">
        <f t="shared" si="10"/>
        <v>2029</v>
      </c>
      <c r="H85" s="28">
        <v>2029.0</v>
      </c>
      <c r="I85" s="29">
        <v>2029.0</v>
      </c>
      <c r="J85" s="21" t="s">
        <v>119</v>
      </c>
      <c r="K85" s="21">
        <v>-7.6753</v>
      </c>
      <c r="L85" s="21">
        <v>109.0965</v>
      </c>
      <c r="N85" s="14" t="str">
        <f>vlookup(D85,'upcoming, not in GEM'!A:B,2,false)</f>
        <v>Java or Bali</v>
      </c>
      <c r="O85" s="19" t="s">
        <v>48</v>
      </c>
      <c r="R85" s="14" t="s">
        <v>62</v>
      </c>
      <c r="S85" s="21" t="s">
        <v>69</v>
      </c>
      <c r="T85" s="31" t="s">
        <v>69</v>
      </c>
      <c r="U85" s="21" t="s">
        <v>144</v>
      </c>
      <c r="AL85" s="19" t="s">
        <v>53</v>
      </c>
      <c r="AN85" s="21" t="s">
        <v>53</v>
      </c>
    </row>
    <row r="86">
      <c r="A86" s="14" t="s">
        <v>258</v>
      </c>
      <c r="B86" s="14" t="s">
        <v>259</v>
      </c>
      <c r="C86" s="16" t="s">
        <v>260</v>
      </c>
      <c r="D86" s="27" t="s">
        <v>261</v>
      </c>
      <c r="E86" s="28">
        <v>300.0</v>
      </c>
      <c r="F86" s="21" t="s">
        <v>118</v>
      </c>
      <c r="G86" s="14">
        <f t="shared" si="10"/>
        <v>2029</v>
      </c>
      <c r="H86" s="28">
        <v>2029.0</v>
      </c>
      <c r="I86" s="29">
        <v>2029.0</v>
      </c>
      <c r="J86" s="21" t="s">
        <v>119</v>
      </c>
      <c r="K86" s="21">
        <v>-7.6753</v>
      </c>
      <c r="L86" s="21">
        <v>109.0965</v>
      </c>
      <c r="N86" s="14" t="str">
        <f>vlookup(D86,'upcoming, not in GEM'!A:B,2,false)</f>
        <v>Java or Bali</v>
      </c>
      <c r="O86" s="19" t="s">
        <v>48</v>
      </c>
      <c r="R86" s="14" t="s">
        <v>49</v>
      </c>
      <c r="S86" s="21" t="s">
        <v>69</v>
      </c>
      <c r="T86" s="31" t="s">
        <v>69</v>
      </c>
      <c r="U86" s="21" t="s">
        <v>70</v>
      </c>
      <c r="AL86" s="19" t="s">
        <v>53</v>
      </c>
      <c r="AN86" s="21" t="s">
        <v>53</v>
      </c>
    </row>
    <row r="87">
      <c r="A87" s="21" t="s">
        <v>262</v>
      </c>
      <c r="B87" s="21" t="s">
        <v>263</v>
      </c>
      <c r="C87" s="32" t="s">
        <v>264</v>
      </c>
      <c r="D87" s="27" t="s">
        <v>265</v>
      </c>
      <c r="E87" s="28">
        <v>300.0</v>
      </c>
      <c r="F87" s="21" t="s">
        <v>118</v>
      </c>
      <c r="G87" s="14">
        <f t="shared" si="10"/>
        <v>2029</v>
      </c>
      <c r="H87" s="28">
        <v>2029.0</v>
      </c>
      <c r="I87" s="29">
        <v>2029.0</v>
      </c>
      <c r="J87" s="21" t="s">
        <v>119</v>
      </c>
      <c r="K87" s="14">
        <f>vlookup(D87,'upcoming, not in GEM'!A:D,3,false)</f>
        <v>-3.5</v>
      </c>
      <c r="L87" s="14">
        <f>vlookup(D87,'upcoming, not in GEM'!A:D,4,false)</f>
        <v>103.5</v>
      </c>
      <c r="N87" s="14" t="str">
        <f>vlookup(D87,'upcoming, not in GEM'!A:B,2,false)</f>
        <v>South Sumatra Region</v>
      </c>
      <c r="O87" s="19" t="s">
        <v>48</v>
      </c>
      <c r="R87" s="14" t="s">
        <v>62</v>
      </c>
      <c r="S87" s="21" t="s">
        <v>69</v>
      </c>
      <c r="T87" s="31" t="s">
        <v>69</v>
      </c>
      <c r="U87" s="21" t="s">
        <v>144</v>
      </c>
      <c r="AL87" s="19" t="s">
        <v>53</v>
      </c>
      <c r="AN87" s="21" t="s">
        <v>53</v>
      </c>
    </row>
    <row r="88">
      <c r="A88" s="14" t="s">
        <v>266</v>
      </c>
      <c r="B88" s="14" t="s">
        <v>267</v>
      </c>
      <c r="C88" s="16" t="s">
        <v>268</v>
      </c>
      <c r="D88" s="27" t="s">
        <v>269</v>
      </c>
      <c r="E88" s="28">
        <v>450.0</v>
      </c>
      <c r="F88" s="21" t="s">
        <v>118</v>
      </c>
      <c r="G88" s="14">
        <f t="shared" si="10"/>
        <v>2027</v>
      </c>
      <c r="H88" s="28">
        <v>2027.0</v>
      </c>
      <c r="I88" s="29">
        <v>2027.0</v>
      </c>
      <c r="J88" s="21" t="s">
        <v>119</v>
      </c>
      <c r="K88" s="21">
        <v>-7.6753</v>
      </c>
      <c r="L88" s="21">
        <v>109.0965</v>
      </c>
      <c r="N88" s="14" t="str">
        <f>vlookup(D88,'upcoming, not in GEM'!A:B,2,false)</f>
        <v>Java or Bali</v>
      </c>
      <c r="O88" s="19" t="s">
        <v>48</v>
      </c>
      <c r="R88" s="14" t="s">
        <v>49</v>
      </c>
      <c r="S88" s="21" t="s">
        <v>69</v>
      </c>
      <c r="T88" s="31" t="s">
        <v>69</v>
      </c>
      <c r="U88" s="21" t="s">
        <v>70</v>
      </c>
      <c r="AL88" s="19" t="s">
        <v>53</v>
      </c>
      <c r="AN88" s="21" t="s">
        <v>53</v>
      </c>
    </row>
    <row r="89">
      <c r="A89" s="14" t="s">
        <v>270</v>
      </c>
      <c r="B89" s="14" t="s">
        <v>271</v>
      </c>
      <c r="C89" s="16" t="s">
        <v>272</v>
      </c>
      <c r="D89" s="27" t="s">
        <v>273</v>
      </c>
      <c r="E89" s="28">
        <v>450.0</v>
      </c>
      <c r="F89" s="21" t="s">
        <v>118</v>
      </c>
      <c r="G89" s="14">
        <f t="shared" si="10"/>
        <v>2028</v>
      </c>
      <c r="H89" s="28">
        <v>2028.0</v>
      </c>
      <c r="I89" s="29">
        <v>2028.0</v>
      </c>
      <c r="J89" s="21" t="s">
        <v>119</v>
      </c>
      <c r="K89" s="21">
        <v>-7.6753</v>
      </c>
      <c r="L89" s="21">
        <v>109.0965</v>
      </c>
      <c r="N89" s="14" t="str">
        <f>vlookup(D89,'upcoming, not in GEM'!A:B,2,false)</f>
        <v>Java or Bali</v>
      </c>
      <c r="O89" s="19" t="s">
        <v>129</v>
      </c>
      <c r="R89" s="14" t="s">
        <v>49</v>
      </c>
      <c r="S89" s="21" t="s">
        <v>274</v>
      </c>
      <c r="T89" s="31" t="s">
        <v>274</v>
      </c>
      <c r="U89" s="21" t="s">
        <v>70</v>
      </c>
      <c r="AL89" s="19" t="s">
        <v>53</v>
      </c>
      <c r="AN89" s="21" t="s">
        <v>53</v>
      </c>
    </row>
    <row r="90">
      <c r="A90" s="14" t="s">
        <v>275</v>
      </c>
      <c r="B90" s="14" t="s">
        <v>276</v>
      </c>
      <c r="C90" s="16" t="s">
        <v>277</v>
      </c>
      <c r="D90" s="27" t="s">
        <v>278</v>
      </c>
      <c r="E90" s="28">
        <v>450.0</v>
      </c>
      <c r="F90" s="21" t="s">
        <v>118</v>
      </c>
      <c r="G90" s="14">
        <f t="shared" si="10"/>
        <v>2029</v>
      </c>
      <c r="H90" s="28">
        <v>2029.0</v>
      </c>
      <c r="I90" s="29">
        <v>2029.0</v>
      </c>
      <c r="J90" s="21" t="s">
        <v>119</v>
      </c>
      <c r="K90" s="21">
        <v>-7.6753</v>
      </c>
      <c r="L90" s="21">
        <v>109.0965</v>
      </c>
      <c r="N90" s="14" t="str">
        <f>vlookup(D90,'upcoming, not in GEM'!A:B,2,false)</f>
        <v>Java or Bali</v>
      </c>
      <c r="O90" s="19" t="s">
        <v>129</v>
      </c>
      <c r="R90" s="14" t="s">
        <v>49</v>
      </c>
      <c r="S90" s="21" t="s">
        <v>274</v>
      </c>
      <c r="T90" s="31" t="s">
        <v>274</v>
      </c>
      <c r="U90" s="21" t="s">
        <v>70</v>
      </c>
      <c r="AL90" s="19" t="s">
        <v>53</v>
      </c>
      <c r="AN90" s="21" t="s">
        <v>53</v>
      </c>
    </row>
    <row r="91">
      <c r="A91" s="15" t="s">
        <v>210</v>
      </c>
      <c r="B91" s="15" t="s">
        <v>279</v>
      </c>
      <c r="C91" s="16" t="s">
        <v>212</v>
      </c>
      <c r="D91" s="27" t="s">
        <v>213</v>
      </c>
      <c r="E91" s="28">
        <v>500.0</v>
      </c>
      <c r="F91" s="21" t="s">
        <v>118</v>
      </c>
      <c r="G91" s="14">
        <f t="shared" si="10"/>
        <v>2026</v>
      </c>
      <c r="H91" s="28">
        <v>2026.0</v>
      </c>
      <c r="I91" s="29">
        <v>2026.0</v>
      </c>
      <c r="J91" s="21" t="s">
        <v>119</v>
      </c>
      <c r="K91" s="14">
        <f>vlookup(D91,'upcoming, not in GEM'!A:D,3,false)</f>
        <v>-3.5</v>
      </c>
      <c r="L91" s="14">
        <f>vlookup(D91,'upcoming, not in GEM'!A:D,4,false)</f>
        <v>120</v>
      </c>
      <c r="N91" s="14" t="str">
        <f>vlookup(D91,'upcoming, not in GEM'!A:B,2,false)</f>
        <v>South Sulawesi and West Sulawesi</v>
      </c>
      <c r="O91" s="19" t="s">
        <v>48</v>
      </c>
      <c r="R91" s="14" t="s">
        <v>49</v>
      </c>
      <c r="S91" s="14" t="s">
        <v>69</v>
      </c>
      <c r="T91" s="20" t="s">
        <v>69</v>
      </c>
      <c r="U91" s="21" t="s">
        <v>70</v>
      </c>
      <c r="AL91" s="19" t="s">
        <v>53</v>
      </c>
      <c r="AN91" s="21" t="s">
        <v>53</v>
      </c>
    </row>
    <row r="92">
      <c r="A92" s="14" t="s">
        <v>280</v>
      </c>
      <c r="B92" s="14" t="s">
        <v>281</v>
      </c>
      <c r="C92" s="16" t="s">
        <v>282</v>
      </c>
      <c r="D92" s="27" t="s">
        <v>283</v>
      </c>
      <c r="E92" s="28">
        <v>500.0</v>
      </c>
      <c r="F92" s="21" t="s">
        <v>118</v>
      </c>
      <c r="G92" s="14">
        <f>H92</f>
        <v>2030</v>
      </c>
      <c r="H92" s="29">
        <v>2030.0</v>
      </c>
      <c r="I92" s="30"/>
      <c r="J92" s="21" t="s">
        <v>124</v>
      </c>
      <c r="K92" s="21">
        <v>-6.9505</v>
      </c>
      <c r="L92" s="21">
        <v>110.434</v>
      </c>
      <c r="N92" s="14" t="str">
        <f>vlookup(D92,'upcoming, not in GEM'!A:B,2,false)</f>
        <v>Java or Bali</v>
      </c>
      <c r="O92" s="19" t="s">
        <v>48</v>
      </c>
      <c r="R92" s="14" t="s">
        <v>49</v>
      </c>
      <c r="S92" s="21" t="s">
        <v>69</v>
      </c>
      <c r="T92" s="31" t="s">
        <v>69</v>
      </c>
      <c r="U92" s="21" t="s">
        <v>70</v>
      </c>
      <c r="AL92" s="19" t="s">
        <v>53</v>
      </c>
      <c r="AN92" s="21" t="s">
        <v>53</v>
      </c>
    </row>
    <row r="93">
      <c r="A93" s="15" t="s">
        <v>284</v>
      </c>
      <c r="B93" s="15" t="s">
        <v>285</v>
      </c>
      <c r="C93" s="16" t="s">
        <v>286</v>
      </c>
      <c r="D93" s="27" t="s">
        <v>287</v>
      </c>
      <c r="E93" s="28">
        <v>600.0</v>
      </c>
      <c r="F93" s="21" t="s">
        <v>118</v>
      </c>
      <c r="G93" s="14">
        <f t="shared" ref="G93:G97" si="11">I93</f>
        <v>2030</v>
      </c>
      <c r="H93" s="28">
        <v>2030.0</v>
      </c>
      <c r="I93" s="29">
        <v>2030.0</v>
      </c>
      <c r="J93" s="21" t="s">
        <v>124</v>
      </c>
      <c r="K93" s="14">
        <f>vlookup(D93,'upcoming, not in GEM'!A:D,3,false)</f>
        <v>-3.5</v>
      </c>
      <c r="L93" s="14">
        <f>vlookup(D93,'upcoming, not in GEM'!A:D,4,false)</f>
        <v>120</v>
      </c>
      <c r="N93" s="14" t="str">
        <f>vlookup(D93,'upcoming, not in GEM'!A:B,2,false)</f>
        <v>South Sulawesi and West Sulawesi</v>
      </c>
      <c r="O93" s="19" t="s">
        <v>129</v>
      </c>
      <c r="R93" s="14" t="s">
        <v>49</v>
      </c>
      <c r="S93" s="21" t="s">
        <v>69</v>
      </c>
      <c r="T93" s="31" t="s">
        <v>69</v>
      </c>
      <c r="U93" s="21" t="s">
        <v>70</v>
      </c>
      <c r="AL93" s="19" t="s">
        <v>53</v>
      </c>
      <c r="AN93" s="21" t="s">
        <v>53</v>
      </c>
    </row>
    <row r="94">
      <c r="D94" s="27" t="s">
        <v>213</v>
      </c>
      <c r="E94" s="28">
        <v>700.0</v>
      </c>
      <c r="F94" s="21" t="s">
        <v>118</v>
      </c>
      <c r="G94" s="14">
        <f t="shared" si="11"/>
        <v>2027</v>
      </c>
      <c r="H94" s="28">
        <v>2027.0</v>
      </c>
      <c r="I94" s="29">
        <v>2027.0</v>
      </c>
      <c r="J94" s="21" t="s">
        <v>119</v>
      </c>
      <c r="K94" s="14">
        <f>vlookup(D94,'upcoming, not in GEM'!A:D,3,false)</f>
        <v>-3.5</v>
      </c>
      <c r="L94" s="14">
        <f>vlookup(D94,'upcoming, not in GEM'!A:D,4,false)</f>
        <v>120</v>
      </c>
      <c r="N94" s="14" t="str">
        <f>vlookup(D94,'upcoming, not in GEM'!A:B,2,false)</f>
        <v>South Sulawesi and West Sulawesi</v>
      </c>
      <c r="O94" s="19" t="s">
        <v>48</v>
      </c>
      <c r="T94" s="20"/>
      <c r="AL94" s="19" t="s">
        <v>53</v>
      </c>
    </row>
    <row r="95">
      <c r="A95" s="15" t="s">
        <v>288</v>
      </c>
      <c r="B95" s="15" t="s">
        <v>289</v>
      </c>
      <c r="C95" s="16" t="s">
        <v>290</v>
      </c>
      <c r="D95" s="27" t="s">
        <v>213</v>
      </c>
      <c r="E95" s="28">
        <v>1000.0</v>
      </c>
      <c r="F95" s="21" t="s">
        <v>118</v>
      </c>
      <c r="G95" s="14">
        <f t="shared" si="11"/>
        <v>2027</v>
      </c>
      <c r="H95" s="28">
        <v>2027.0</v>
      </c>
      <c r="I95" s="29">
        <v>2027.0</v>
      </c>
      <c r="J95" s="21" t="s">
        <v>119</v>
      </c>
      <c r="K95" s="14">
        <f>vlookup(D95,'upcoming, not in GEM'!A:D,3,false)</f>
        <v>-3.5</v>
      </c>
      <c r="L95" s="14">
        <f>vlookup(D95,'upcoming, not in GEM'!A:D,4,false)</f>
        <v>120</v>
      </c>
      <c r="N95" s="14" t="str">
        <f>vlookup(D95,'upcoming, not in GEM'!A:B,2,false)</f>
        <v>South Sulawesi and West Sulawesi</v>
      </c>
      <c r="O95" s="19" t="s">
        <v>48</v>
      </c>
      <c r="R95" s="21" t="s">
        <v>49</v>
      </c>
      <c r="S95" s="14" t="s">
        <v>69</v>
      </c>
      <c r="T95" s="20" t="s">
        <v>69</v>
      </c>
      <c r="U95" s="21" t="s">
        <v>70</v>
      </c>
      <c r="AL95" s="19" t="s">
        <v>53</v>
      </c>
      <c r="AN95" s="21" t="s">
        <v>53</v>
      </c>
    </row>
    <row r="96">
      <c r="A96" s="14" t="s">
        <v>291</v>
      </c>
      <c r="B96" s="14" t="s">
        <v>292</v>
      </c>
      <c r="C96" s="16" t="s">
        <v>293</v>
      </c>
      <c r="D96" s="27" t="s">
        <v>294</v>
      </c>
      <c r="E96" s="28">
        <v>1000.0</v>
      </c>
      <c r="F96" s="21" t="s">
        <v>118</v>
      </c>
      <c r="G96" s="14">
        <f t="shared" si="11"/>
        <v>2029</v>
      </c>
      <c r="H96" s="28">
        <v>2029.0</v>
      </c>
      <c r="I96" s="29">
        <v>2029.0</v>
      </c>
      <c r="J96" s="21" t="s">
        <v>119</v>
      </c>
      <c r="K96" s="21">
        <v>-5.935064</v>
      </c>
      <c r="L96" s="21">
        <v>107.030182</v>
      </c>
      <c r="N96" s="14" t="str">
        <f>vlookup(D96,'upcoming, not in GEM'!A:B,2,false)</f>
        <v>West Java</v>
      </c>
      <c r="O96" s="19" t="s">
        <v>129</v>
      </c>
      <c r="R96" s="14" t="s">
        <v>49</v>
      </c>
      <c r="S96" s="21" t="s">
        <v>274</v>
      </c>
      <c r="T96" s="31" t="s">
        <v>274</v>
      </c>
      <c r="U96" s="21" t="s">
        <v>70</v>
      </c>
      <c r="AL96" s="19" t="s">
        <v>53</v>
      </c>
      <c r="AN96" s="21" t="s">
        <v>53</v>
      </c>
    </row>
    <row r="97">
      <c r="A97" s="14" t="s">
        <v>295</v>
      </c>
      <c r="B97" s="14" t="s">
        <v>296</v>
      </c>
      <c r="C97" s="16" t="s">
        <v>297</v>
      </c>
      <c r="D97" s="27" t="s">
        <v>298</v>
      </c>
      <c r="E97" s="28">
        <v>1000.0</v>
      </c>
      <c r="F97" s="21" t="s">
        <v>118</v>
      </c>
      <c r="G97" s="14">
        <f t="shared" si="11"/>
        <v>2030</v>
      </c>
      <c r="H97" s="28">
        <v>2030.0</v>
      </c>
      <c r="I97" s="29">
        <v>2030.0</v>
      </c>
      <c r="J97" s="21" t="s">
        <v>124</v>
      </c>
      <c r="K97" s="21">
        <v>-5.935064</v>
      </c>
      <c r="L97" s="21">
        <v>107.030182</v>
      </c>
      <c r="M97" s="21" t="s">
        <v>299</v>
      </c>
      <c r="N97" s="14" t="str">
        <f>vlookup(D97,'upcoming, not in GEM'!A:B,2,false)</f>
        <v>West Java</v>
      </c>
      <c r="O97" s="19" t="s">
        <v>129</v>
      </c>
      <c r="T97" s="20"/>
      <c r="AL97" s="19" t="s">
        <v>53</v>
      </c>
      <c r="AN97" s="21" t="s">
        <v>53</v>
      </c>
    </row>
    <row r="98">
      <c r="A98" s="14" t="s">
        <v>295</v>
      </c>
      <c r="B98" s="14" t="s">
        <v>296</v>
      </c>
      <c r="C98" s="16" t="s">
        <v>300</v>
      </c>
      <c r="D98" s="27" t="s">
        <v>301</v>
      </c>
      <c r="E98" s="28">
        <v>1000.0</v>
      </c>
      <c r="F98" s="21" t="s">
        <v>118</v>
      </c>
      <c r="G98" s="14">
        <f>H98</f>
        <v>2034</v>
      </c>
      <c r="H98" s="29">
        <v>2034.0</v>
      </c>
      <c r="I98" s="30"/>
      <c r="J98" s="21" t="s">
        <v>124</v>
      </c>
      <c r="K98" s="21">
        <v>-5.935064</v>
      </c>
      <c r="L98" s="21">
        <v>107.030182</v>
      </c>
      <c r="M98" s="21" t="s">
        <v>299</v>
      </c>
      <c r="N98" s="14" t="str">
        <f>vlookup(D98,'upcoming, not in GEM'!A:B,2,false)</f>
        <v>West Java</v>
      </c>
      <c r="O98" s="19" t="s">
        <v>129</v>
      </c>
      <c r="T98" s="20"/>
      <c r="AL98" s="19" t="s">
        <v>53</v>
      </c>
      <c r="AN98" s="21" t="s">
        <v>53</v>
      </c>
    </row>
    <row r="99">
      <c r="A99" s="21" t="s">
        <v>302</v>
      </c>
      <c r="B99" s="21" t="s">
        <v>303</v>
      </c>
      <c r="C99" s="23" t="s">
        <v>304</v>
      </c>
      <c r="D99" s="24" t="s">
        <v>305</v>
      </c>
      <c r="E99" s="18">
        <v>56.0</v>
      </c>
      <c r="F99" s="15" t="s">
        <v>306</v>
      </c>
      <c r="G99" s="14">
        <v>2025.0</v>
      </c>
      <c r="K99" s="14">
        <v>1.578726</v>
      </c>
      <c r="L99" s="14">
        <v>114.608756</v>
      </c>
      <c r="M99" s="14" t="s">
        <v>307</v>
      </c>
      <c r="N99" s="14" t="s">
        <v>308</v>
      </c>
      <c r="O99" s="21" t="s">
        <v>88</v>
      </c>
      <c r="P99" s="14" t="s">
        <v>309</v>
      </c>
      <c r="Q99" s="14" t="s">
        <v>310</v>
      </c>
      <c r="R99" s="14" t="s">
        <v>62</v>
      </c>
      <c r="S99" s="14" t="s">
        <v>311</v>
      </c>
      <c r="T99" s="20" t="s">
        <v>312</v>
      </c>
      <c r="U99" s="21" t="s">
        <v>144</v>
      </c>
      <c r="AL99" s="21"/>
      <c r="AM99" s="21" t="s">
        <v>53</v>
      </c>
    </row>
    <row r="100">
      <c r="A100" s="21" t="s">
        <v>302</v>
      </c>
      <c r="B100" s="21" t="s">
        <v>313</v>
      </c>
      <c r="C100" s="23" t="s">
        <v>304</v>
      </c>
      <c r="D100" s="24" t="s">
        <v>305</v>
      </c>
      <c r="E100" s="18">
        <v>56.0</v>
      </c>
      <c r="F100" s="15" t="s">
        <v>306</v>
      </c>
      <c r="G100" s="14">
        <v>2025.0</v>
      </c>
      <c r="K100" s="14">
        <v>1.578726</v>
      </c>
      <c r="L100" s="14">
        <v>114.608756</v>
      </c>
      <c r="M100" s="14" t="s">
        <v>307</v>
      </c>
      <c r="N100" s="14" t="s">
        <v>308</v>
      </c>
      <c r="O100" s="21" t="s">
        <v>88</v>
      </c>
      <c r="P100" s="14" t="s">
        <v>309</v>
      </c>
      <c r="Q100" s="14" t="s">
        <v>310</v>
      </c>
      <c r="R100" s="14" t="s">
        <v>62</v>
      </c>
      <c r="S100" s="14" t="s">
        <v>311</v>
      </c>
      <c r="T100" s="20" t="s">
        <v>312</v>
      </c>
      <c r="U100" s="21" t="s">
        <v>144</v>
      </c>
      <c r="AL100" s="21"/>
      <c r="AM100" s="21" t="s">
        <v>53</v>
      </c>
    </row>
    <row r="101">
      <c r="A101" s="21" t="s">
        <v>302</v>
      </c>
      <c r="B101" s="21" t="s">
        <v>314</v>
      </c>
      <c r="C101" s="23" t="s">
        <v>304</v>
      </c>
      <c r="D101" s="24" t="s">
        <v>305</v>
      </c>
      <c r="E101" s="18">
        <v>56.0</v>
      </c>
      <c r="F101" s="15" t="s">
        <v>306</v>
      </c>
      <c r="G101" s="14">
        <v>2025.0</v>
      </c>
      <c r="K101" s="14">
        <v>1.578726</v>
      </c>
      <c r="L101" s="14">
        <v>114.608756</v>
      </c>
      <c r="M101" s="14" t="s">
        <v>307</v>
      </c>
      <c r="N101" s="14" t="s">
        <v>308</v>
      </c>
      <c r="O101" s="21" t="s">
        <v>88</v>
      </c>
      <c r="P101" s="14" t="s">
        <v>309</v>
      </c>
      <c r="Q101" s="14" t="s">
        <v>310</v>
      </c>
      <c r="R101" s="14" t="s">
        <v>62</v>
      </c>
      <c r="S101" s="14" t="s">
        <v>311</v>
      </c>
      <c r="T101" s="20" t="s">
        <v>312</v>
      </c>
      <c r="U101" s="21" t="s">
        <v>144</v>
      </c>
      <c r="AL101" s="21"/>
      <c r="AM101" s="21" t="s">
        <v>53</v>
      </c>
    </row>
    <row r="102">
      <c r="A102" s="21" t="s">
        <v>302</v>
      </c>
      <c r="B102" s="21" t="s">
        <v>315</v>
      </c>
      <c r="C102" s="23" t="s">
        <v>304</v>
      </c>
      <c r="D102" s="24" t="s">
        <v>305</v>
      </c>
      <c r="E102" s="18">
        <v>56.0</v>
      </c>
      <c r="F102" s="15" t="s">
        <v>306</v>
      </c>
      <c r="G102" s="14">
        <v>2025.0</v>
      </c>
      <c r="K102" s="14">
        <v>1.578726</v>
      </c>
      <c r="L102" s="14">
        <v>114.608756</v>
      </c>
      <c r="M102" s="14" t="s">
        <v>307</v>
      </c>
      <c r="N102" s="14" t="s">
        <v>308</v>
      </c>
      <c r="O102" s="21" t="s">
        <v>88</v>
      </c>
      <c r="P102" s="14" t="s">
        <v>309</v>
      </c>
      <c r="Q102" s="14" t="s">
        <v>310</v>
      </c>
      <c r="R102" s="14" t="s">
        <v>62</v>
      </c>
      <c r="S102" s="14" t="s">
        <v>311</v>
      </c>
      <c r="T102" s="20" t="s">
        <v>312</v>
      </c>
      <c r="U102" s="21" t="s">
        <v>144</v>
      </c>
      <c r="AL102" s="21"/>
      <c r="AM102" s="21" t="s">
        <v>53</v>
      </c>
    </row>
    <row r="103">
      <c r="A103" s="15" t="s">
        <v>316</v>
      </c>
      <c r="B103" s="15" t="s">
        <v>317</v>
      </c>
      <c r="C103" s="35" t="s">
        <v>318</v>
      </c>
      <c r="D103" s="17" t="s">
        <v>319</v>
      </c>
      <c r="E103" s="18">
        <v>250.0</v>
      </c>
      <c r="F103" s="15" t="s">
        <v>306</v>
      </c>
      <c r="G103" s="18">
        <v>2026.0</v>
      </c>
      <c r="J103" s="15"/>
      <c r="K103" s="18">
        <v>1.63916</v>
      </c>
      <c r="L103" s="18">
        <v>101.608757</v>
      </c>
      <c r="M103" s="15"/>
      <c r="N103" s="15" t="s">
        <v>320</v>
      </c>
      <c r="O103" s="19" t="s">
        <v>80</v>
      </c>
      <c r="P103" s="15"/>
      <c r="Q103" s="15"/>
      <c r="R103" s="30"/>
      <c r="S103" s="19" t="s">
        <v>80</v>
      </c>
      <c r="T103" s="31" t="s">
        <v>80</v>
      </c>
      <c r="U103" s="15"/>
      <c r="V103" s="15"/>
      <c r="W103" s="15"/>
      <c r="X103" s="15"/>
      <c r="Y103" s="15"/>
      <c r="Z103" s="15"/>
      <c r="AA103" s="15"/>
      <c r="AD103" s="15"/>
      <c r="AE103" s="15"/>
      <c r="AF103" s="15"/>
      <c r="AG103" s="15"/>
      <c r="AI103" s="15"/>
      <c r="AJ103" s="15"/>
      <c r="AK103" s="15"/>
      <c r="AL103" s="15"/>
      <c r="AM103" s="15"/>
      <c r="AN103" s="19" t="s">
        <v>53</v>
      </c>
      <c r="AO103" s="15"/>
    </row>
    <row r="104">
      <c r="A104" s="21" t="s">
        <v>321</v>
      </c>
      <c r="B104" s="21" t="s">
        <v>322</v>
      </c>
      <c r="C104" s="23" t="s">
        <v>323</v>
      </c>
      <c r="D104" s="24" t="s">
        <v>324</v>
      </c>
      <c r="E104" s="18">
        <v>450.0</v>
      </c>
      <c r="F104" s="15" t="s">
        <v>306</v>
      </c>
      <c r="G104" s="14">
        <v>2025.0</v>
      </c>
      <c r="K104" s="14">
        <v>-8.901172</v>
      </c>
      <c r="L104" s="14">
        <v>116.738209</v>
      </c>
      <c r="M104" s="14" t="s">
        <v>325</v>
      </c>
      <c r="N104" s="14" t="s">
        <v>326</v>
      </c>
      <c r="O104" s="21" t="s">
        <v>88</v>
      </c>
      <c r="P104" s="14" t="s">
        <v>309</v>
      </c>
      <c r="Q104" s="14" t="s">
        <v>327</v>
      </c>
      <c r="R104" s="14" t="s">
        <v>328</v>
      </c>
      <c r="S104" s="14" t="s">
        <v>329</v>
      </c>
      <c r="T104" s="20" t="s">
        <v>330</v>
      </c>
      <c r="U104" s="21" t="s">
        <v>70</v>
      </c>
      <c r="AL104" s="21"/>
      <c r="AM104" s="21" t="s">
        <v>53</v>
      </c>
    </row>
    <row r="105">
      <c r="A105" s="21" t="s">
        <v>106</v>
      </c>
      <c r="B105" s="21" t="s">
        <v>331</v>
      </c>
      <c r="C105" s="23" t="s">
        <v>108</v>
      </c>
      <c r="D105" s="24" t="s">
        <v>109</v>
      </c>
      <c r="E105" s="18">
        <v>800.0</v>
      </c>
      <c r="F105" s="15" t="s">
        <v>306</v>
      </c>
      <c r="G105" s="14">
        <v>2024.0</v>
      </c>
      <c r="K105" s="14">
        <v>3.285553</v>
      </c>
      <c r="L105" s="14">
        <v>99.508176</v>
      </c>
      <c r="M105" s="14" t="s">
        <v>110</v>
      </c>
      <c r="N105" s="14" t="s">
        <v>96</v>
      </c>
      <c r="O105" s="21" t="s">
        <v>88</v>
      </c>
      <c r="R105" s="14" t="s">
        <v>62</v>
      </c>
      <c r="S105" s="14" t="s">
        <v>111</v>
      </c>
      <c r="T105" s="20" t="s">
        <v>112</v>
      </c>
      <c r="U105" s="21" t="s">
        <v>70</v>
      </c>
      <c r="AL105" s="21"/>
      <c r="AM105" s="21" t="s">
        <v>53</v>
      </c>
    </row>
    <row r="106">
      <c r="A106" s="21" t="s">
        <v>106</v>
      </c>
      <c r="B106" s="21" t="s">
        <v>332</v>
      </c>
      <c r="C106" s="23" t="s">
        <v>108</v>
      </c>
      <c r="D106" s="24" t="s">
        <v>109</v>
      </c>
      <c r="E106" s="18">
        <v>800.0</v>
      </c>
      <c r="F106" s="15" t="s">
        <v>306</v>
      </c>
      <c r="G106" s="14">
        <v>2024.0</v>
      </c>
      <c r="K106" s="14">
        <v>3.285553</v>
      </c>
      <c r="L106" s="14">
        <v>99.508176</v>
      </c>
      <c r="M106" s="14" t="s">
        <v>110</v>
      </c>
      <c r="N106" s="14" t="s">
        <v>96</v>
      </c>
      <c r="O106" s="21" t="s">
        <v>88</v>
      </c>
      <c r="R106" s="14" t="s">
        <v>62</v>
      </c>
      <c r="S106" s="14" t="s">
        <v>111</v>
      </c>
      <c r="T106" s="20" t="s">
        <v>112</v>
      </c>
      <c r="U106" s="21" t="s">
        <v>70</v>
      </c>
      <c r="AL106" s="21"/>
      <c r="AM106" s="21" t="s">
        <v>53</v>
      </c>
    </row>
    <row r="107">
      <c r="D107" s="36" t="s">
        <v>333</v>
      </c>
      <c r="E107" s="19">
        <v>0.8</v>
      </c>
      <c r="F107" s="19" t="s">
        <v>334</v>
      </c>
      <c r="G107" s="23">
        <v>2013.0</v>
      </c>
      <c r="K107" s="21">
        <v>1.06823505138029</v>
      </c>
      <c r="L107" s="21">
        <v>104.025276958839</v>
      </c>
      <c r="M107" s="21" t="s">
        <v>335</v>
      </c>
      <c r="N107" s="21" t="s">
        <v>336</v>
      </c>
      <c r="O107" s="21"/>
      <c r="R107" s="21"/>
      <c r="S107" s="21"/>
      <c r="T107" s="20"/>
      <c r="U107" s="21"/>
      <c r="AO107" s="21" t="s">
        <v>53</v>
      </c>
    </row>
    <row r="108">
      <c r="D108" s="36" t="s">
        <v>337</v>
      </c>
      <c r="E108" s="19">
        <v>0.8</v>
      </c>
      <c r="F108" s="19" t="s">
        <v>334</v>
      </c>
      <c r="G108" s="37">
        <v>2013.0</v>
      </c>
      <c r="K108" s="21">
        <v>1.06823505138029</v>
      </c>
      <c r="L108" s="21">
        <v>104.025276958839</v>
      </c>
      <c r="M108" s="21" t="s">
        <v>335</v>
      </c>
      <c r="N108" s="21" t="s">
        <v>336</v>
      </c>
      <c r="O108" s="21"/>
      <c r="R108" s="21"/>
      <c r="S108" s="21"/>
      <c r="T108" s="20"/>
      <c r="U108" s="21"/>
      <c r="AO108" s="21" t="s">
        <v>53</v>
      </c>
    </row>
    <row r="109">
      <c r="D109" s="36" t="s">
        <v>338</v>
      </c>
      <c r="E109" s="19">
        <v>0.8</v>
      </c>
      <c r="F109" s="19" t="s">
        <v>334</v>
      </c>
      <c r="G109" s="37">
        <v>2013.0</v>
      </c>
      <c r="K109" s="21">
        <v>1.06823505138029</v>
      </c>
      <c r="L109" s="21">
        <v>104.025276958839</v>
      </c>
      <c r="M109" s="21" t="s">
        <v>335</v>
      </c>
      <c r="N109" s="21" t="s">
        <v>336</v>
      </c>
      <c r="O109" s="21"/>
      <c r="R109" s="21"/>
      <c r="S109" s="21"/>
      <c r="T109" s="20"/>
      <c r="U109" s="21"/>
      <c r="AO109" s="21" t="s">
        <v>53</v>
      </c>
    </row>
    <row r="110">
      <c r="D110" s="36" t="s">
        <v>339</v>
      </c>
      <c r="E110" s="19">
        <v>0.8</v>
      </c>
      <c r="F110" s="19" t="s">
        <v>334</v>
      </c>
      <c r="G110" s="37">
        <v>2013.0</v>
      </c>
      <c r="K110" s="21">
        <v>1.06823505138029</v>
      </c>
      <c r="L110" s="21">
        <v>104.025276958839</v>
      </c>
      <c r="M110" s="21" t="s">
        <v>335</v>
      </c>
      <c r="N110" s="21" t="s">
        <v>336</v>
      </c>
      <c r="O110" s="21"/>
      <c r="R110" s="21"/>
      <c r="S110" s="21"/>
      <c r="T110" s="20"/>
      <c r="U110" s="21"/>
      <c r="AO110" s="21" t="s">
        <v>53</v>
      </c>
    </row>
    <row r="111">
      <c r="D111" s="24" t="s">
        <v>340</v>
      </c>
      <c r="E111" s="19">
        <v>4.2</v>
      </c>
      <c r="F111" s="19" t="s">
        <v>334</v>
      </c>
      <c r="G111" s="21" t="s">
        <v>80</v>
      </c>
      <c r="K111" s="21">
        <v>-6.24804379320982</v>
      </c>
      <c r="L111" s="21">
        <v>106.647180313491</v>
      </c>
      <c r="M111" s="21" t="s">
        <v>341</v>
      </c>
      <c r="N111" s="21" t="s">
        <v>87</v>
      </c>
      <c r="T111" s="20"/>
      <c r="AO111" s="21" t="s">
        <v>53</v>
      </c>
    </row>
    <row r="112">
      <c r="D112" s="24" t="s">
        <v>342</v>
      </c>
      <c r="E112" s="19">
        <v>4.2</v>
      </c>
      <c r="F112" s="19" t="s">
        <v>334</v>
      </c>
      <c r="G112" s="21" t="s">
        <v>80</v>
      </c>
      <c r="K112" s="21">
        <v>-6.24804379320982</v>
      </c>
      <c r="L112" s="21">
        <v>106.647180313491</v>
      </c>
      <c r="M112" s="21" t="s">
        <v>341</v>
      </c>
      <c r="N112" s="21" t="s">
        <v>87</v>
      </c>
      <c r="T112" s="20"/>
      <c r="AO112" s="21" t="s">
        <v>53</v>
      </c>
    </row>
    <row r="113">
      <c r="D113" s="24" t="s">
        <v>343</v>
      </c>
      <c r="E113" s="19">
        <v>4.8</v>
      </c>
      <c r="F113" s="19" t="s">
        <v>334</v>
      </c>
      <c r="G113" s="21" t="s">
        <v>80</v>
      </c>
      <c r="K113" s="21">
        <v>-7.36696858591382</v>
      </c>
      <c r="L113" s="21">
        <v>112.610571068931</v>
      </c>
      <c r="M113" s="21" t="s">
        <v>344</v>
      </c>
      <c r="N113" s="21" t="s">
        <v>345</v>
      </c>
      <c r="T113" s="20"/>
      <c r="W113" s="23" t="s">
        <v>346</v>
      </c>
      <c r="AO113" s="21" t="s">
        <v>53</v>
      </c>
    </row>
    <row r="114">
      <c r="D114" s="24" t="s">
        <v>347</v>
      </c>
      <c r="E114" s="19">
        <v>5.84</v>
      </c>
      <c r="F114" s="19" t="s">
        <v>334</v>
      </c>
      <c r="G114" s="21" t="s">
        <v>80</v>
      </c>
      <c r="K114" s="21">
        <v>-7.69957982552764</v>
      </c>
      <c r="L114" s="21">
        <v>112.845129138249</v>
      </c>
      <c r="M114" s="21" t="s">
        <v>348</v>
      </c>
      <c r="N114" s="21" t="s">
        <v>345</v>
      </c>
      <c r="T114" s="20"/>
      <c r="AO114" s="21" t="s">
        <v>53</v>
      </c>
    </row>
    <row r="115">
      <c r="D115" s="24" t="s">
        <v>349</v>
      </c>
      <c r="E115" s="19">
        <v>6.0</v>
      </c>
      <c r="F115" s="19" t="s">
        <v>334</v>
      </c>
      <c r="G115" s="21" t="s">
        <v>80</v>
      </c>
      <c r="K115" s="21">
        <v>-7.45069039812786</v>
      </c>
      <c r="L115" s="21">
        <v>112.444299080575</v>
      </c>
      <c r="M115" s="21" t="s">
        <v>350</v>
      </c>
      <c r="N115" s="21" t="s">
        <v>345</v>
      </c>
      <c r="T115" s="20"/>
      <c r="AO115" s="21" t="s">
        <v>53</v>
      </c>
    </row>
    <row r="116">
      <c r="D116" s="24" t="s">
        <v>351</v>
      </c>
      <c r="E116" s="19">
        <v>6.39</v>
      </c>
      <c r="F116" s="19" t="s">
        <v>334</v>
      </c>
      <c r="G116" s="21" t="s">
        <v>80</v>
      </c>
      <c r="K116" s="21">
        <v>-7.79196203723212</v>
      </c>
      <c r="L116" s="21">
        <v>113.312475567086</v>
      </c>
      <c r="M116" s="21" t="s">
        <v>352</v>
      </c>
      <c r="N116" s="21" t="s">
        <v>345</v>
      </c>
      <c r="T116" s="20"/>
      <c r="AO116" s="21" t="s">
        <v>53</v>
      </c>
    </row>
    <row r="117">
      <c r="D117" s="24" t="s">
        <v>353</v>
      </c>
      <c r="E117" s="19">
        <v>6.72</v>
      </c>
      <c r="F117" s="19" t="s">
        <v>334</v>
      </c>
      <c r="G117" s="23">
        <v>2015.0</v>
      </c>
      <c r="K117" s="21">
        <v>-7.18055759904492</v>
      </c>
      <c r="L117" s="21">
        <v>112.663188953341</v>
      </c>
      <c r="M117" s="21" t="s">
        <v>344</v>
      </c>
      <c r="N117" s="21" t="s">
        <v>345</v>
      </c>
      <c r="T117" s="20"/>
      <c r="AO117" s="21" t="s">
        <v>53</v>
      </c>
    </row>
    <row r="118">
      <c r="D118" s="38" t="s">
        <v>354</v>
      </c>
      <c r="E118" s="19">
        <v>11.86</v>
      </c>
      <c r="F118" s="19" t="s">
        <v>334</v>
      </c>
      <c r="G118" s="37">
        <v>1978.0</v>
      </c>
      <c r="K118" s="21">
        <v>3.61569527592365</v>
      </c>
      <c r="L118" s="21">
        <v>98.6685116670094</v>
      </c>
      <c r="M118" s="21" t="s">
        <v>355</v>
      </c>
      <c r="N118" s="21" t="s">
        <v>96</v>
      </c>
      <c r="O118" s="21"/>
      <c r="R118" s="21"/>
      <c r="S118" s="21"/>
      <c r="T118" s="20"/>
      <c r="U118" s="21"/>
      <c r="AO118" s="21" t="s">
        <v>53</v>
      </c>
    </row>
    <row r="119">
      <c r="D119" s="38" t="s">
        <v>356</v>
      </c>
      <c r="E119" s="19">
        <v>12.0</v>
      </c>
      <c r="F119" s="19" t="s">
        <v>334</v>
      </c>
      <c r="G119" s="23">
        <v>2010.0</v>
      </c>
      <c r="K119" s="21">
        <v>-3.43303388638422</v>
      </c>
      <c r="L119" s="21">
        <v>104.218309972412</v>
      </c>
      <c r="M119" s="21" t="s">
        <v>357</v>
      </c>
      <c r="N119" s="21" t="s">
        <v>358</v>
      </c>
      <c r="O119" s="21"/>
      <c r="R119" s="21"/>
      <c r="S119" s="21"/>
      <c r="T119" s="20"/>
      <c r="U119" s="21"/>
      <c r="AO119" s="21" t="s">
        <v>53</v>
      </c>
    </row>
    <row r="120">
      <c r="D120" s="24" t="s">
        <v>359</v>
      </c>
      <c r="E120" s="19">
        <v>14.466</v>
      </c>
      <c r="F120" s="19" t="s">
        <v>334</v>
      </c>
      <c r="G120" s="23">
        <v>1976.0</v>
      </c>
      <c r="K120" s="21">
        <v>-5.14722074283942</v>
      </c>
      <c r="L120" s="21">
        <v>119.471766028697</v>
      </c>
      <c r="M120" s="21" t="s">
        <v>360</v>
      </c>
      <c r="N120" s="21" t="s">
        <v>361</v>
      </c>
      <c r="O120" s="21" t="s">
        <v>48</v>
      </c>
      <c r="R120" s="21" t="s">
        <v>62</v>
      </c>
      <c r="T120" s="20"/>
      <c r="U120" s="21" t="s">
        <v>144</v>
      </c>
      <c r="AO120" s="21" t="s">
        <v>53</v>
      </c>
    </row>
    <row r="121">
      <c r="D121" s="24" t="s">
        <v>362</v>
      </c>
      <c r="E121" s="19">
        <v>15.6</v>
      </c>
      <c r="F121" s="19" t="s">
        <v>334</v>
      </c>
      <c r="G121" s="21" t="s">
        <v>80</v>
      </c>
      <c r="K121" s="21">
        <v>3.31583025767899</v>
      </c>
      <c r="L121" s="21">
        <v>117.618330853314</v>
      </c>
      <c r="M121" s="21" t="s">
        <v>139</v>
      </c>
      <c r="N121" s="21" t="s">
        <v>363</v>
      </c>
      <c r="T121" s="20"/>
      <c r="AO121" s="21" t="s">
        <v>53</v>
      </c>
    </row>
    <row r="122">
      <c r="D122" s="24" t="s">
        <v>364</v>
      </c>
      <c r="E122" s="19">
        <v>19.83</v>
      </c>
      <c r="F122" s="19" t="s">
        <v>334</v>
      </c>
      <c r="G122" s="23">
        <v>2006.0</v>
      </c>
      <c r="K122" s="21">
        <v>-3.02523643916238</v>
      </c>
      <c r="L122" s="21">
        <v>104.716917772398</v>
      </c>
      <c r="M122" s="21" t="s">
        <v>365</v>
      </c>
      <c r="N122" s="21" t="s">
        <v>96</v>
      </c>
      <c r="O122" s="21" t="s">
        <v>129</v>
      </c>
      <c r="R122" s="21" t="s">
        <v>62</v>
      </c>
      <c r="S122" s="21" t="s">
        <v>366</v>
      </c>
      <c r="T122" s="20"/>
      <c r="U122" s="21" t="s">
        <v>144</v>
      </c>
      <c r="AO122" s="21" t="s">
        <v>53</v>
      </c>
      <c r="AP122" s="21"/>
      <c r="AQ122" s="21"/>
      <c r="AR122" s="21"/>
      <c r="AS122" s="21"/>
      <c r="AT122" s="21"/>
    </row>
    <row r="123">
      <c r="D123" s="38" t="s">
        <v>367</v>
      </c>
      <c r="E123" s="19">
        <v>19.85</v>
      </c>
      <c r="F123" s="19" t="s">
        <v>334</v>
      </c>
      <c r="G123" s="23">
        <v>1976.0</v>
      </c>
      <c r="K123" s="21">
        <v>3.61569527592365</v>
      </c>
      <c r="L123" s="21">
        <v>98.6685116670094</v>
      </c>
      <c r="M123" s="21" t="s">
        <v>355</v>
      </c>
      <c r="N123" s="21" t="s">
        <v>96</v>
      </c>
      <c r="O123" s="21"/>
      <c r="R123" s="21"/>
      <c r="S123" s="21"/>
      <c r="T123" s="20"/>
      <c r="U123" s="21"/>
      <c r="AO123" s="21" t="s">
        <v>53</v>
      </c>
    </row>
    <row r="124">
      <c r="D124" s="24" t="s">
        <v>368</v>
      </c>
      <c r="E124" s="19">
        <v>20.0</v>
      </c>
      <c r="F124" s="19" t="s">
        <v>334</v>
      </c>
      <c r="G124" s="23">
        <v>2009.0</v>
      </c>
      <c r="K124" s="21">
        <v>-0.316513283903164</v>
      </c>
      <c r="L124" s="21">
        <v>117.292257444178</v>
      </c>
      <c r="M124" s="21" t="s">
        <v>369</v>
      </c>
      <c r="N124" s="21" t="s">
        <v>308</v>
      </c>
      <c r="T124" s="20"/>
      <c r="AO124" s="21" t="s">
        <v>53</v>
      </c>
    </row>
    <row r="125">
      <c r="D125" s="24" t="s">
        <v>370</v>
      </c>
      <c r="E125" s="19">
        <v>20.0</v>
      </c>
      <c r="F125" s="19" t="s">
        <v>334</v>
      </c>
      <c r="G125" s="21">
        <v>2009.0</v>
      </c>
      <c r="K125" s="21">
        <v>-0.316513283903164</v>
      </c>
      <c r="L125" s="21">
        <v>117.292257444178</v>
      </c>
      <c r="M125" s="21" t="s">
        <v>369</v>
      </c>
      <c r="N125" s="21" t="s">
        <v>308</v>
      </c>
      <c r="T125" s="20"/>
      <c r="AO125" s="21" t="s">
        <v>53</v>
      </c>
    </row>
    <row r="126">
      <c r="D126" s="24" t="s">
        <v>371</v>
      </c>
      <c r="E126" s="19">
        <v>20.0</v>
      </c>
      <c r="F126" s="19" t="s">
        <v>334</v>
      </c>
      <c r="G126" s="21">
        <v>2004.0</v>
      </c>
      <c r="K126" s="21">
        <v>0.548403371110402</v>
      </c>
      <c r="L126" s="21">
        <v>101.461931827842</v>
      </c>
      <c r="M126" s="21" t="s">
        <v>372</v>
      </c>
      <c r="N126" s="21" t="s">
        <v>320</v>
      </c>
      <c r="O126" s="21" t="s">
        <v>48</v>
      </c>
      <c r="R126" s="21" t="s">
        <v>62</v>
      </c>
      <c r="S126" s="14" t="s">
        <v>51</v>
      </c>
      <c r="T126" s="20" t="s">
        <v>51</v>
      </c>
      <c r="U126" s="21" t="s">
        <v>144</v>
      </c>
      <c r="AO126" s="21" t="s">
        <v>53</v>
      </c>
    </row>
    <row r="127">
      <c r="D127" s="38" t="s">
        <v>373</v>
      </c>
      <c r="E127" s="19">
        <v>20.0</v>
      </c>
      <c r="F127" s="19" t="s">
        <v>334</v>
      </c>
      <c r="G127" s="23">
        <v>2010.0</v>
      </c>
      <c r="K127" s="21">
        <v>1.07064676515426</v>
      </c>
      <c r="L127" s="21">
        <v>101.281596567012</v>
      </c>
      <c r="M127" s="21" t="s">
        <v>374</v>
      </c>
      <c r="N127" s="21" t="s">
        <v>320</v>
      </c>
      <c r="O127" s="21"/>
      <c r="R127" s="21"/>
      <c r="S127" s="21"/>
      <c r="T127" s="20"/>
      <c r="U127" s="21"/>
      <c r="AO127" s="21" t="s">
        <v>53</v>
      </c>
      <c r="AP127" s="21"/>
      <c r="AQ127" s="21"/>
      <c r="AR127" s="21"/>
      <c r="AS127" s="21"/>
      <c r="AT127" s="21"/>
    </row>
    <row r="128">
      <c r="D128" s="24" t="s">
        <v>375</v>
      </c>
      <c r="E128" s="19">
        <v>20.03</v>
      </c>
      <c r="F128" s="19" t="s">
        <v>334</v>
      </c>
      <c r="G128" s="23">
        <v>1976.0</v>
      </c>
      <c r="K128" s="21">
        <v>-6.73530814962174</v>
      </c>
      <c r="L128" s="21">
        <v>108.539840280322</v>
      </c>
      <c r="M128" s="21" t="s">
        <v>376</v>
      </c>
      <c r="N128" s="21" t="s">
        <v>377</v>
      </c>
      <c r="T128" s="20"/>
      <c r="AO128" s="21" t="s">
        <v>53</v>
      </c>
    </row>
    <row r="129">
      <c r="D129" s="24" t="s">
        <v>378</v>
      </c>
      <c r="E129" s="19">
        <v>20.1</v>
      </c>
      <c r="F129" s="19" t="s">
        <v>334</v>
      </c>
      <c r="G129" s="21">
        <v>1976.0</v>
      </c>
      <c r="K129" s="21">
        <v>-6.73530814962174</v>
      </c>
      <c r="L129" s="21">
        <v>108.539840280322</v>
      </c>
      <c r="M129" s="21" t="s">
        <v>376</v>
      </c>
      <c r="N129" s="21" t="s">
        <v>377</v>
      </c>
      <c r="T129" s="20"/>
      <c r="AO129" s="21" t="s">
        <v>53</v>
      </c>
    </row>
    <row r="130">
      <c r="D130" s="24" t="s">
        <v>379</v>
      </c>
      <c r="E130" s="19">
        <v>20.1</v>
      </c>
      <c r="F130" s="19" t="s">
        <v>334</v>
      </c>
      <c r="G130" s="21">
        <v>1976.0</v>
      </c>
      <c r="K130" s="21">
        <v>-6.73530814962174</v>
      </c>
      <c r="L130" s="21">
        <v>108.539840280322</v>
      </c>
      <c r="M130" s="21" t="s">
        <v>376</v>
      </c>
      <c r="N130" s="21" t="s">
        <v>377</v>
      </c>
      <c r="T130" s="20"/>
      <c r="AO130" s="21" t="s">
        <v>53</v>
      </c>
      <c r="AP130" s="21"/>
      <c r="AQ130" s="21"/>
      <c r="AR130" s="21"/>
      <c r="AS130" s="21"/>
      <c r="AT130" s="21"/>
    </row>
    <row r="131">
      <c r="D131" s="38" t="s">
        <v>380</v>
      </c>
      <c r="E131" s="19">
        <v>20.1</v>
      </c>
      <c r="F131" s="19" t="s">
        <v>334</v>
      </c>
      <c r="G131" s="23">
        <v>2016.0</v>
      </c>
      <c r="K131" s="21">
        <v>3.71355264247858</v>
      </c>
      <c r="L131" s="21">
        <v>98.6644668423285</v>
      </c>
      <c r="M131" s="21" t="s">
        <v>95</v>
      </c>
      <c r="N131" s="21" t="s">
        <v>96</v>
      </c>
      <c r="O131" s="21"/>
      <c r="R131" s="21"/>
      <c r="S131" s="21"/>
      <c r="T131" s="20"/>
      <c r="U131" s="21"/>
      <c r="AO131" s="21" t="s">
        <v>53</v>
      </c>
      <c r="AP131" s="21"/>
      <c r="AQ131" s="21"/>
      <c r="AR131" s="21"/>
      <c r="AS131" s="21"/>
      <c r="AT131" s="21"/>
    </row>
    <row r="132">
      <c r="D132" s="24" t="s">
        <v>381</v>
      </c>
      <c r="E132" s="19">
        <v>20.2</v>
      </c>
      <c r="F132" s="19" t="s">
        <v>334</v>
      </c>
      <c r="G132" s="39">
        <v>1982.0</v>
      </c>
      <c r="K132" s="21">
        <v>-5.14722074283942</v>
      </c>
      <c r="L132" s="21">
        <v>119.471766028697</v>
      </c>
      <c r="M132" s="21" t="s">
        <v>360</v>
      </c>
      <c r="N132" s="21" t="s">
        <v>361</v>
      </c>
      <c r="O132" s="21" t="s">
        <v>48</v>
      </c>
      <c r="R132" s="21" t="s">
        <v>62</v>
      </c>
      <c r="T132" s="20"/>
      <c r="U132" s="21" t="s">
        <v>144</v>
      </c>
      <c r="AO132" s="21" t="s">
        <v>53</v>
      </c>
    </row>
    <row r="133">
      <c r="D133" s="38" t="s">
        <v>382</v>
      </c>
      <c r="E133" s="19">
        <v>21.0</v>
      </c>
      <c r="F133" s="19" t="s">
        <v>334</v>
      </c>
      <c r="G133" s="23">
        <v>2011.0</v>
      </c>
      <c r="K133" s="21">
        <v>-2.86232403363078</v>
      </c>
      <c r="L133" s="21">
        <v>104.135166238197</v>
      </c>
      <c r="M133" s="21" t="s">
        <v>383</v>
      </c>
      <c r="N133" s="21" t="s">
        <v>358</v>
      </c>
      <c r="O133" s="21"/>
      <c r="R133" s="21"/>
      <c r="S133" s="21"/>
      <c r="T133" s="20"/>
      <c r="U133" s="21"/>
      <c r="AO133" s="21" t="s">
        <v>53</v>
      </c>
    </row>
    <row r="134">
      <c r="A134" s="15"/>
      <c r="B134" s="15"/>
      <c r="C134" s="15"/>
      <c r="D134" s="27" t="s">
        <v>384</v>
      </c>
      <c r="E134" s="28">
        <v>21.35</v>
      </c>
      <c r="F134" s="30" t="s">
        <v>334</v>
      </c>
      <c r="G134" s="30" t="s">
        <v>80</v>
      </c>
      <c r="H134" s="15"/>
      <c r="I134" s="15"/>
      <c r="J134" s="15"/>
      <c r="K134" s="28">
        <v>-5.14722074283942</v>
      </c>
      <c r="L134" s="28">
        <v>119.471766028697</v>
      </c>
      <c r="M134" s="30" t="s">
        <v>360</v>
      </c>
      <c r="N134" s="30" t="s">
        <v>361</v>
      </c>
      <c r="O134" s="30" t="s">
        <v>48</v>
      </c>
      <c r="P134" s="15"/>
      <c r="Q134" s="15"/>
      <c r="R134" s="30" t="s">
        <v>62</v>
      </c>
      <c r="S134" s="15"/>
      <c r="T134" s="15"/>
      <c r="U134" s="30" t="s">
        <v>144</v>
      </c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21" t="s">
        <v>53</v>
      </c>
    </row>
    <row r="135">
      <c r="D135" s="38" t="s">
        <v>385</v>
      </c>
      <c r="E135" s="19">
        <v>21.35</v>
      </c>
      <c r="F135" s="19" t="s">
        <v>334</v>
      </c>
      <c r="G135" s="37">
        <v>2016.0</v>
      </c>
      <c r="K135" s="21">
        <v>3.71355264247858</v>
      </c>
      <c r="L135" s="21">
        <v>98.6644668423285</v>
      </c>
      <c r="M135" s="21" t="s">
        <v>95</v>
      </c>
      <c r="N135" s="21" t="s">
        <v>96</v>
      </c>
      <c r="O135" s="21"/>
      <c r="R135" s="21"/>
      <c r="S135" s="21"/>
      <c r="T135" s="20"/>
      <c r="U135" s="21"/>
      <c r="AO135" s="21" t="s">
        <v>53</v>
      </c>
    </row>
    <row r="136">
      <c r="A136" s="15"/>
      <c r="B136" s="15"/>
      <c r="C136" s="15"/>
      <c r="D136" s="27" t="s">
        <v>386</v>
      </c>
      <c r="E136" s="28">
        <v>21.35</v>
      </c>
      <c r="F136" s="30" t="s">
        <v>334</v>
      </c>
      <c r="G136" s="30" t="s">
        <v>80</v>
      </c>
      <c r="H136" s="15"/>
      <c r="I136" s="15"/>
      <c r="J136" s="15"/>
      <c r="K136" s="28">
        <v>-5.51038083967426</v>
      </c>
      <c r="L136" s="28">
        <v>105.341332594044</v>
      </c>
      <c r="M136" s="30" t="s">
        <v>387</v>
      </c>
      <c r="N136" s="30" t="s">
        <v>388</v>
      </c>
      <c r="O136" s="30"/>
      <c r="P136" s="15"/>
      <c r="Q136" s="15"/>
      <c r="R136" s="30"/>
      <c r="S136" s="30"/>
      <c r="T136" s="15"/>
      <c r="U136" s="30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21" t="s">
        <v>53</v>
      </c>
    </row>
    <row r="137">
      <c r="D137" s="38" t="s">
        <v>389</v>
      </c>
      <c r="E137" s="19">
        <v>21.5</v>
      </c>
      <c r="F137" s="19" t="s">
        <v>334</v>
      </c>
      <c r="G137" s="39">
        <v>2011.0</v>
      </c>
      <c r="K137" s="21">
        <v>-2.86232403363078</v>
      </c>
      <c r="L137" s="21">
        <v>104.135166238197</v>
      </c>
      <c r="M137" s="21" t="s">
        <v>383</v>
      </c>
      <c r="N137" s="21" t="s">
        <v>358</v>
      </c>
      <c r="O137" s="21"/>
      <c r="R137" s="21"/>
      <c r="S137" s="21"/>
      <c r="T137" s="20"/>
      <c r="U137" s="21"/>
      <c r="AO137" s="21" t="s">
        <v>53</v>
      </c>
    </row>
    <row r="138">
      <c r="A138" s="15"/>
      <c r="B138" s="15"/>
      <c r="C138" s="15"/>
      <c r="D138" s="27" t="s">
        <v>390</v>
      </c>
      <c r="E138" s="28">
        <v>21.5</v>
      </c>
      <c r="F138" s="30" t="s">
        <v>334</v>
      </c>
      <c r="G138" s="30" t="s">
        <v>80</v>
      </c>
      <c r="H138" s="15"/>
      <c r="I138" s="15"/>
      <c r="J138" s="15"/>
      <c r="K138" s="28">
        <v>-5.58448292166412</v>
      </c>
      <c r="L138" s="28">
        <v>105.389342330182</v>
      </c>
      <c r="M138" s="30" t="s">
        <v>391</v>
      </c>
      <c r="N138" s="30" t="s">
        <v>388</v>
      </c>
      <c r="O138" s="30"/>
      <c r="P138" s="15"/>
      <c r="Q138" s="15"/>
      <c r="R138" s="30"/>
      <c r="S138" s="30"/>
      <c r="T138" s="15"/>
      <c r="U138" s="30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21" t="s">
        <v>53</v>
      </c>
    </row>
    <row r="139">
      <c r="A139" s="15"/>
      <c r="B139" s="15"/>
      <c r="C139" s="15"/>
      <c r="D139" s="27" t="s">
        <v>392</v>
      </c>
      <c r="E139" s="28">
        <v>21.5</v>
      </c>
      <c r="F139" s="30" t="s">
        <v>334</v>
      </c>
      <c r="G139" s="40">
        <v>1983.0</v>
      </c>
      <c r="H139" s="15"/>
      <c r="I139" s="15"/>
      <c r="J139" s="15"/>
      <c r="K139" s="28">
        <v>-0.935397323525867</v>
      </c>
      <c r="L139" s="28">
        <v>100.432853967021</v>
      </c>
      <c r="M139" s="30" t="s">
        <v>393</v>
      </c>
      <c r="N139" s="30" t="s">
        <v>394</v>
      </c>
      <c r="O139" s="30"/>
      <c r="P139" s="15"/>
      <c r="Q139" s="15"/>
      <c r="R139" s="30"/>
      <c r="S139" s="30"/>
      <c r="T139" s="15"/>
      <c r="U139" s="30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21" t="s">
        <v>53</v>
      </c>
    </row>
    <row r="140">
      <c r="A140" s="15"/>
      <c r="B140" s="15"/>
      <c r="C140" s="15"/>
      <c r="D140" s="27" t="s">
        <v>395</v>
      </c>
      <c r="E140" s="28">
        <v>21.5</v>
      </c>
      <c r="F140" s="30" t="s">
        <v>334</v>
      </c>
      <c r="G140" s="28">
        <v>1983.0</v>
      </c>
      <c r="H140" s="15"/>
      <c r="I140" s="15"/>
      <c r="J140" s="15"/>
      <c r="K140" s="28">
        <v>-0.935397323525867</v>
      </c>
      <c r="L140" s="28">
        <v>100.432853967021</v>
      </c>
      <c r="M140" s="30" t="s">
        <v>393</v>
      </c>
      <c r="N140" s="30" t="s">
        <v>394</v>
      </c>
      <c r="O140" s="30"/>
      <c r="P140" s="15"/>
      <c r="Q140" s="15"/>
      <c r="R140" s="30"/>
      <c r="S140" s="30"/>
      <c r="T140" s="15"/>
      <c r="U140" s="30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21" t="s">
        <v>53</v>
      </c>
    </row>
    <row r="141">
      <c r="D141" s="24" t="s">
        <v>396</v>
      </c>
      <c r="E141" s="19">
        <v>21.55</v>
      </c>
      <c r="F141" s="19" t="s">
        <v>334</v>
      </c>
      <c r="G141" s="21" t="s">
        <v>80</v>
      </c>
      <c r="K141" s="21">
        <v>-3.31047451733527</v>
      </c>
      <c r="L141" s="21">
        <v>114.570850991084</v>
      </c>
      <c r="M141" s="21" t="s">
        <v>397</v>
      </c>
      <c r="N141" s="21" t="s">
        <v>81</v>
      </c>
      <c r="T141" s="20"/>
      <c r="AO141" s="21" t="s">
        <v>53</v>
      </c>
    </row>
    <row r="142">
      <c r="D142" s="24" t="s">
        <v>398</v>
      </c>
      <c r="E142" s="19">
        <v>21.6</v>
      </c>
      <c r="F142" s="19" t="s">
        <v>334</v>
      </c>
      <c r="G142" s="21">
        <v>2004.0</v>
      </c>
      <c r="K142" s="21">
        <v>0.548403371110402</v>
      </c>
      <c r="L142" s="21">
        <v>101.461931827842</v>
      </c>
      <c r="M142" s="21" t="s">
        <v>372</v>
      </c>
      <c r="N142" s="21" t="s">
        <v>320</v>
      </c>
      <c r="O142" s="21" t="s">
        <v>48</v>
      </c>
      <c r="R142" s="21" t="s">
        <v>62</v>
      </c>
      <c r="S142" s="14" t="s">
        <v>51</v>
      </c>
      <c r="T142" s="20" t="s">
        <v>51</v>
      </c>
      <c r="U142" s="21" t="s">
        <v>144</v>
      </c>
      <c r="AO142" s="21" t="s">
        <v>53</v>
      </c>
    </row>
    <row r="143">
      <c r="D143" s="24" t="s">
        <v>399</v>
      </c>
      <c r="E143" s="19">
        <v>21.6</v>
      </c>
      <c r="F143" s="19" t="s">
        <v>334</v>
      </c>
      <c r="G143" s="21">
        <v>2004.0</v>
      </c>
      <c r="K143" s="21">
        <v>0.548403371110402</v>
      </c>
      <c r="L143" s="21">
        <v>101.461931827842</v>
      </c>
      <c r="M143" s="21" t="s">
        <v>372</v>
      </c>
      <c r="N143" s="21" t="s">
        <v>320</v>
      </c>
      <c r="O143" s="21" t="s">
        <v>48</v>
      </c>
      <c r="R143" s="21" t="s">
        <v>62</v>
      </c>
      <c r="S143" s="14" t="s">
        <v>51</v>
      </c>
      <c r="T143" s="20" t="s">
        <v>51</v>
      </c>
      <c r="U143" s="21" t="s">
        <v>144</v>
      </c>
      <c r="AO143" s="21" t="s">
        <v>53</v>
      </c>
    </row>
    <row r="144">
      <c r="D144" s="38" t="s">
        <v>400</v>
      </c>
      <c r="E144" s="19">
        <v>22.0</v>
      </c>
      <c r="F144" s="19" t="s">
        <v>334</v>
      </c>
      <c r="G144" s="23">
        <v>2017.0</v>
      </c>
      <c r="K144" s="21">
        <v>-7.14818447462078</v>
      </c>
      <c r="L144" s="21">
        <v>112.642079559113</v>
      </c>
      <c r="M144" s="21" t="s">
        <v>344</v>
      </c>
      <c r="N144" s="21" t="s">
        <v>103</v>
      </c>
      <c r="O144" s="21"/>
      <c r="R144" s="21"/>
      <c r="S144" s="21"/>
      <c r="T144" s="20"/>
      <c r="U144" s="21"/>
      <c r="AO144" s="21" t="s">
        <v>53</v>
      </c>
    </row>
    <row r="145">
      <c r="D145" s="38" t="s">
        <v>401</v>
      </c>
      <c r="E145" s="19">
        <v>24.0</v>
      </c>
      <c r="F145" s="19" t="s">
        <v>334</v>
      </c>
      <c r="G145" s="23">
        <v>2014.0</v>
      </c>
      <c r="K145" s="21">
        <v>5.53676524888268</v>
      </c>
      <c r="L145" s="21">
        <v>95.2817632670122</v>
      </c>
      <c r="M145" s="21" t="s">
        <v>402</v>
      </c>
      <c r="N145" s="21" t="s">
        <v>75</v>
      </c>
      <c r="O145" s="21"/>
      <c r="R145" s="21"/>
      <c r="S145" s="21"/>
      <c r="T145" s="20"/>
      <c r="U145" s="21"/>
      <c r="AO145" s="21" t="s">
        <v>53</v>
      </c>
    </row>
    <row r="146">
      <c r="D146" s="38" t="s">
        <v>403</v>
      </c>
      <c r="E146" s="19">
        <v>25.0</v>
      </c>
      <c r="F146" s="19" t="s">
        <v>334</v>
      </c>
      <c r="G146" s="23">
        <v>2016.0</v>
      </c>
      <c r="K146" s="21">
        <v>1.21030607739869</v>
      </c>
      <c r="L146" s="21">
        <v>97.6782804300039</v>
      </c>
      <c r="M146" s="21" t="s">
        <v>404</v>
      </c>
      <c r="N146" s="21" t="s">
        <v>96</v>
      </c>
      <c r="O146" s="21"/>
      <c r="R146" s="21"/>
      <c r="S146" s="21"/>
      <c r="T146" s="20"/>
      <c r="U146" s="21"/>
      <c r="AO146" s="21" t="s">
        <v>53</v>
      </c>
      <c r="AP146" s="21"/>
      <c r="AQ146" s="21"/>
      <c r="AR146" s="21"/>
      <c r="AS146" s="21"/>
      <c r="AT146" s="21"/>
    </row>
    <row r="147">
      <c r="A147" s="15"/>
      <c r="B147" s="15"/>
      <c r="C147" s="15"/>
      <c r="D147" s="27" t="s">
        <v>405</v>
      </c>
      <c r="E147" s="28">
        <v>25.0</v>
      </c>
      <c r="F147" s="30" t="s">
        <v>334</v>
      </c>
      <c r="G147" s="40">
        <v>2016.0</v>
      </c>
      <c r="H147" s="15"/>
      <c r="I147" s="15"/>
      <c r="J147" s="15"/>
      <c r="K147" s="28">
        <v>-2.89060437821629</v>
      </c>
      <c r="L147" s="28">
        <v>107.565138867033</v>
      </c>
      <c r="M147" s="30" t="s">
        <v>406</v>
      </c>
      <c r="N147" s="30" t="s">
        <v>407</v>
      </c>
      <c r="O147" s="30"/>
      <c r="P147" s="15"/>
      <c r="Q147" s="15"/>
      <c r="R147" s="30"/>
      <c r="S147" s="30"/>
      <c r="T147" s="15"/>
      <c r="U147" s="30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21" t="s">
        <v>53</v>
      </c>
    </row>
    <row r="148">
      <c r="D148" s="24" t="s">
        <v>408</v>
      </c>
      <c r="E148" s="19">
        <v>26.0</v>
      </c>
      <c r="F148" s="19" t="s">
        <v>334</v>
      </c>
      <c r="G148" s="21">
        <v>1975.0</v>
      </c>
      <c r="K148" s="18">
        <v>-7.75087008981098</v>
      </c>
      <c r="L148" s="18">
        <v>109.018641002715</v>
      </c>
      <c r="M148" s="21" t="s">
        <v>409</v>
      </c>
      <c r="N148" s="21" t="s">
        <v>410</v>
      </c>
      <c r="T148" s="20"/>
      <c r="AO148" s="21" t="s">
        <v>53</v>
      </c>
    </row>
    <row r="149">
      <c r="D149" s="24" t="s">
        <v>411</v>
      </c>
      <c r="E149" s="19">
        <v>29.0</v>
      </c>
      <c r="F149" s="19" t="s">
        <v>334</v>
      </c>
      <c r="G149" s="23">
        <v>1996.0</v>
      </c>
      <c r="K149" s="18">
        <v>-7.75087008981098</v>
      </c>
      <c r="L149" s="18">
        <v>109.018641002715</v>
      </c>
      <c r="M149" s="21" t="s">
        <v>409</v>
      </c>
      <c r="N149" s="21" t="s">
        <v>410</v>
      </c>
      <c r="T149" s="20"/>
      <c r="AO149" s="21" t="s">
        <v>53</v>
      </c>
    </row>
    <row r="150">
      <c r="D150" s="24" t="s">
        <v>412</v>
      </c>
      <c r="E150" s="19">
        <v>30.0</v>
      </c>
      <c r="F150" s="19" t="s">
        <v>334</v>
      </c>
      <c r="G150" s="23">
        <v>2023.0</v>
      </c>
      <c r="K150" s="21">
        <v>0.84279132499202</v>
      </c>
      <c r="L150" s="21">
        <v>128.256098666768</v>
      </c>
      <c r="M150" s="21" t="s">
        <v>413</v>
      </c>
      <c r="N150" s="21" t="s">
        <v>414</v>
      </c>
      <c r="O150" s="21" t="s">
        <v>48</v>
      </c>
      <c r="P150" s="21" t="s">
        <v>309</v>
      </c>
      <c r="Q150" s="21" t="s">
        <v>415</v>
      </c>
      <c r="T150" s="20"/>
      <c r="AO150" s="21" t="s">
        <v>53</v>
      </c>
    </row>
    <row r="151">
      <c r="D151" s="24" t="s">
        <v>416</v>
      </c>
      <c r="E151" s="19">
        <v>33.4</v>
      </c>
      <c r="F151" s="19" t="s">
        <v>334</v>
      </c>
      <c r="G151" s="21">
        <v>1997.0</v>
      </c>
      <c r="K151" s="21">
        <v>-5.14722074283942</v>
      </c>
      <c r="L151" s="21">
        <v>119.471766028697</v>
      </c>
      <c r="M151" s="21" t="s">
        <v>360</v>
      </c>
      <c r="N151" s="21" t="s">
        <v>361</v>
      </c>
      <c r="O151" s="21" t="s">
        <v>48</v>
      </c>
      <c r="R151" s="21" t="s">
        <v>62</v>
      </c>
      <c r="T151" s="20"/>
      <c r="U151" s="21" t="s">
        <v>144</v>
      </c>
      <c r="AO151" s="21" t="s">
        <v>53</v>
      </c>
    </row>
    <row r="152">
      <c r="D152" s="24" t="s">
        <v>417</v>
      </c>
      <c r="E152" s="19">
        <v>33.4</v>
      </c>
      <c r="F152" s="19" t="s">
        <v>334</v>
      </c>
      <c r="G152" s="21">
        <v>1997.0</v>
      </c>
      <c r="K152" s="21">
        <v>-5.14722074283942</v>
      </c>
      <c r="L152" s="21">
        <v>119.471766028697</v>
      </c>
      <c r="M152" s="21" t="s">
        <v>360</v>
      </c>
      <c r="N152" s="21" t="s">
        <v>361</v>
      </c>
      <c r="O152" s="21" t="s">
        <v>48</v>
      </c>
      <c r="R152" s="21" t="s">
        <v>62</v>
      </c>
      <c r="T152" s="20"/>
      <c r="U152" s="21" t="s">
        <v>144</v>
      </c>
      <c r="AO152" s="21" t="s">
        <v>53</v>
      </c>
    </row>
    <row r="153">
      <c r="D153" s="24" t="s">
        <v>418</v>
      </c>
      <c r="E153" s="19">
        <v>34.0</v>
      </c>
      <c r="F153" s="19" t="s">
        <v>334</v>
      </c>
      <c r="G153" s="23">
        <v>2009.0</v>
      </c>
      <c r="M153" s="21" t="s">
        <v>419</v>
      </c>
      <c r="N153" s="21" t="s">
        <v>420</v>
      </c>
      <c r="T153" s="20"/>
      <c r="AO153" s="21" t="s">
        <v>53</v>
      </c>
    </row>
    <row r="154">
      <c r="D154" s="38" t="s">
        <v>421</v>
      </c>
      <c r="E154" s="19">
        <v>34.1</v>
      </c>
      <c r="F154" s="19" t="s">
        <v>334</v>
      </c>
      <c r="G154" s="37">
        <v>2016.0</v>
      </c>
      <c r="K154" s="21">
        <v>3.71355264247858</v>
      </c>
      <c r="L154" s="21">
        <v>98.6644668423285</v>
      </c>
      <c r="M154" s="21" t="s">
        <v>95</v>
      </c>
      <c r="N154" s="21" t="s">
        <v>96</v>
      </c>
      <c r="O154" s="21"/>
      <c r="R154" s="21"/>
      <c r="S154" s="21"/>
      <c r="T154" s="20"/>
      <c r="U154" s="21"/>
      <c r="AO154" s="21" t="s">
        <v>53</v>
      </c>
    </row>
    <row r="155">
      <c r="D155" s="38" t="s">
        <v>422</v>
      </c>
      <c r="E155" s="19">
        <v>35.1</v>
      </c>
      <c r="F155" s="19" t="s">
        <v>334</v>
      </c>
      <c r="G155" s="39">
        <v>2011.0</v>
      </c>
      <c r="K155" s="21">
        <v>-2.86232403363078</v>
      </c>
      <c r="L155" s="21">
        <v>104.135166238197</v>
      </c>
      <c r="M155" s="21" t="s">
        <v>383</v>
      </c>
      <c r="N155" s="21" t="s">
        <v>358</v>
      </c>
      <c r="O155" s="21"/>
      <c r="R155" s="21"/>
      <c r="S155" s="21"/>
      <c r="T155" s="20"/>
      <c r="U155" s="21"/>
      <c r="AO155" s="21" t="s">
        <v>53</v>
      </c>
    </row>
    <row r="156">
      <c r="D156" s="24" t="s">
        <v>423</v>
      </c>
      <c r="E156" s="19">
        <v>39.0</v>
      </c>
      <c r="F156" s="19" t="s">
        <v>334</v>
      </c>
      <c r="G156" s="21" t="s">
        <v>80</v>
      </c>
      <c r="N156" s="21" t="s">
        <v>377</v>
      </c>
      <c r="T156" s="20"/>
      <c r="AO156" s="21" t="s">
        <v>53</v>
      </c>
    </row>
    <row r="157">
      <c r="D157" s="24" t="s">
        <v>424</v>
      </c>
      <c r="E157" s="19">
        <v>20.1</v>
      </c>
      <c r="F157" s="19" t="s">
        <v>334</v>
      </c>
      <c r="G157" s="23">
        <v>1993.0</v>
      </c>
      <c r="K157" s="21">
        <v>-7.16414311109815</v>
      </c>
      <c r="L157" s="21">
        <v>112.660699195913</v>
      </c>
      <c r="M157" s="21" t="s">
        <v>344</v>
      </c>
      <c r="N157" s="21" t="s">
        <v>103</v>
      </c>
      <c r="O157" s="21" t="s">
        <v>48</v>
      </c>
      <c r="T157" s="20"/>
      <c r="AO157" s="21" t="s">
        <v>53</v>
      </c>
    </row>
    <row r="158">
      <c r="D158" s="24" t="s">
        <v>425</v>
      </c>
      <c r="E158" s="19">
        <v>20.1</v>
      </c>
      <c r="F158" s="19" t="s">
        <v>334</v>
      </c>
      <c r="G158" s="21">
        <v>1993.0</v>
      </c>
      <c r="K158" s="21">
        <v>-7.16414311109815</v>
      </c>
      <c r="L158" s="21">
        <v>112.660699195913</v>
      </c>
      <c r="M158" s="21" t="s">
        <v>344</v>
      </c>
      <c r="N158" s="21" t="s">
        <v>103</v>
      </c>
      <c r="O158" s="21" t="s">
        <v>48</v>
      </c>
      <c r="T158" s="20"/>
      <c r="AO158" s="21" t="s">
        <v>53</v>
      </c>
    </row>
    <row r="159">
      <c r="D159" s="24" t="s">
        <v>426</v>
      </c>
      <c r="E159" s="19">
        <v>33.583</v>
      </c>
      <c r="F159" s="19" t="s">
        <v>334</v>
      </c>
      <c r="G159" s="23">
        <v>2012.0</v>
      </c>
      <c r="K159" s="21">
        <v>-2.92295274413793</v>
      </c>
      <c r="L159" s="21">
        <v>104.873068240048</v>
      </c>
      <c r="M159" s="21" t="s">
        <v>365</v>
      </c>
      <c r="N159" s="21" t="s">
        <v>358</v>
      </c>
      <c r="O159" s="21"/>
      <c r="T159" s="20"/>
      <c r="AO159" s="21" t="s">
        <v>53</v>
      </c>
    </row>
    <row r="160">
      <c r="D160" s="24" t="s">
        <v>427</v>
      </c>
      <c r="E160" s="19">
        <v>33.583</v>
      </c>
      <c r="F160" s="19" t="s">
        <v>334</v>
      </c>
      <c r="G160" s="21">
        <v>2012.0</v>
      </c>
      <c r="K160" s="21">
        <v>-2.92295274413793</v>
      </c>
      <c r="L160" s="21">
        <v>104.873068240048</v>
      </c>
      <c r="M160" s="21" t="s">
        <v>365</v>
      </c>
      <c r="N160" s="21" t="s">
        <v>358</v>
      </c>
      <c r="O160" s="21"/>
      <c r="T160" s="20"/>
      <c r="AO160" s="21" t="s">
        <v>53</v>
      </c>
    </row>
    <row r="161">
      <c r="D161" s="24" t="s">
        <v>428</v>
      </c>
      <c r="E161" s="19">
        <v>14.0</v>
      </c>
      <c r="F161" s="19" t="s">
        <v>334</v>
      </c>
      <c r="G161" s="21"/>
      <c r="K161" s="21">
        <v>-2.92268673994768</v>
      </c>
      <c r="L161" s="21">
        <v>104.870643351691</v>
      </c>
      <c r="M161" s="21" t="s">
        <v>383</v>
      </c>
      <c r="N161" s="21" t="s">
        <v>358</v>
      </c>
      <c r="O161" s="21"/>
      <c r="T161" s="20"/>
      <c r="AO161" s="21" t="s">
        <v>53</v>
      </c>
    </row>
    <row r="162">
      <c r="D162" s="41" t="s">
        <v>429</v>
      </c>
      <c r="E162" s="19">
        <v>12.0</v>
      </c>
      <c r="F162" s="19" t="s">
        <v>334</v>
      </c>
      <c r="G162" s="21"/>
      <c r="K162" s="21">
        <v>-2.95445526180814</v>
      </c>
      <c r="L162" s="21">
        <v>104.831224411212</v>
      </c>
      <c r="M162" s="21" t="s">
        <v>365</v>
      </c>
      <c r="N162" s="21" t="s">
        <v>358</v>
      </c>
      <c r="O162" s="21"/>
      <c r="T162" s="20"/>
      <c r="AO162" s="21" t="s">
        <v>53</v>
      </c>
    </row>
    <row r="163">
      <c r="D163" s="41" t="s">
        <v>430</v>
      </c>
      <c r="E163" s="19">
        <v>120.0</v>
      </c>
      <c r="F163" s="19" t="s">
        <v>334</v>
      </c>
      <c r="G163" s="21" t="s">
        <v>80</v>
      </c>
      <c r="K163" s="21"/>
      <c r="L163" s="21"/>
      <c r="M163" s="21" t="s">
        <v>431</v>
      </c>
      <c r="N163" s="21" t="s">
        <v>87</v>
      </c>
      <c r="O163" s="21"/>
      <c r="T163" s="20"/>
      <c r="AO163" s="21" t="s">
        <v>53</v>
      </c>
    </row>
    <row r="164">
      <c r="D164" s="42" t="s">
        <v>432</v>
      </c>
      <c r="E164" s="19">
        <v>70.0</v>
      </c>
      <c r="F164" s="19" t="s">
        <v>334</v>
      </c>
      <c r="G164" s="23">
        <v>2025.0</v>
      </c>
      <c r="K164" s="21">
        <v>1.09110139807361</v>
      </c>
      <c r="L164" s="21">
        <v>103.902231224684</v>
      </c>
      <c r="M164" s="21" t="s">
        <v>335</v>
      </c>
      <c r="N164" s="21" t="s">
        <v>320</v>
      </c>
      <c r="O164" s="21"/>
      <c r="T164" s="43" t="s">
        <v>433</v>
      </c>
      <c r="AO164" s="21" t="s">
        <v>53</v>
      </c>
    </row>
    <row r="165">
      <c r="D165" s="42" t="s">
        <v>434</v>
      </c>
      <c r="E165" s="19">
        <v>21.35</v>
      </c>
      <c r="F165" s="19" t="s">
        <v>334</v>
      </c>
      <c r="G165" s="37"/>
      <c r="K165" s="14">
        <v>-8.71645</v>
      </c>
      <c r="L165" s="14">
        <v>115.213325</v>
      </c>
      <c r="M165" s="14" t="s">
        <v>435</v>
      </c>
      <c r="N165" s="14" t="s">
        <v>229</v>
      </c>
      <c r="O165" s="21"/>
      <c r="T165" s="44"/>
      <c r="AO165" s="21" t="s">
        <v>53</v>
      </c>
    </row>
    <row r="166">
      <c r="D166" s="42" t="s">
        <v>436</v>
      </c>
      <c r="E166" s="19">
        <v>20.1</v>
      </c>
      <c r="F166" s="19" t="s">
        <v>334</v>
      </c>
      <c r="G166" s="37"/>
      <c r="K166" s="14">
        <v>-8.71645</v>
      </c>
      <c r="L166" s="14">
        <v>115.213325</v>
      </c>
      <c r="M166" s="14" t="s">
        <v>435</v>
      </c>
      <c r="N166" s="14" t="s">
        <v>229</v>
      </c>
      <c r="O166" s="21"/>
      <c r="T166" s="44"/>
      <c r="AO166" s="21" t="s">
        <v>53</v>
      </c>
    </row>
    <row r="167">
      <c r="D167" s="42" t="s">
        <v>437</v>
      </c>
      <c r="E167" s="19">
        <v>42.0</v>
      </c>
      <c r="F167" s="19" t="s">
        <v>334</v>
      </c>
      <c r="G167" s="37"/>
      <c r="K167" s="14">
        <v>-8.71645</v>
      </c>
      <c r="L167" s="14">
        <v>115.213325</v>
      </c>
      <c r="M167" s="14" t="s">
        <v>435</v>
      </c>
      <c r="N167" s="14" t="s">
        <v>229</v>
      </c>
      <c r="O167" s="21"/>
      <c r="T167" s="44"/>
      <c r="AO167" s="21" t="s">
        <v>53</v>
      </c>
    </row>
    <row r="168">
      <c r="D168" s="42" t="s">
        <v>438</v>
      </c>
      <c r="E168" s="19">
        <v>42.0</v>
      </c>
      <c r="F168" s="19" t="s">
        <v>334</v>
      </c>
      <c r="G168" s="37"/>
      <c r="K168" s="14">
        <v>-8.71645</v>
      </c>
      <c r="L168" s="14">
        <v>115.213325</v>
      </c>
      <c r="M168" s="14" t="s">
        <v>435</v>
      </c>
      <c r="N168" s="14" t="s">
        <v>229</v>
      </c>
      <c r="O168" s="21"/>
      <c r="T168" s="44"/>
      <c r="AO168" s="21" t="s">
        <v>53</v>
      </c>
    </row>
    <row r="169">
      <c r="C169" s="32" t="s">
        <v>439</v>
      </c>
      <c r="D169" s="24" t="s">
        <v>440</v>
      </c>
      <c r="E169" s="19">
        <v>48.8</v>
      </c>
      <c r="F169" s="19" t="s">
        <v>334</v>
      </c>
      <c r="G169" s="23">
        <v>2004.0</v>
      </c>
      <c r="K169" s="21">
        <v>-8.13458916214937</v>
      </c>
      <c r="L169" s="21">
        <v>115.059569451748</v>
      </c>
      <c r="M169" s="21" t="s">
        <v>441</v>
      </c>
      <c r="N169" s="21" t="s">
        <v>229</v>
      </c>
      <c r="O169" s="21" t="s">
        <v>48</v>
      </c>
      <c r="T169" s="20"/>
      <c r="AO169" s="21" t="s">
        <v>53</v>
      </c>
    </row>
    <row r="170">
      <c r="C170" s="32" t="s">
        <v>439</v>
      </c>
      <c r="D170" s="24" t="s">
        <v>442</v>
      </c>
      <c r="E170" s="19">
        <v>48.8</v>
      </c>
      <c r="F170" s="19" t="s">
        <v>334</v>
      </c>
      <c r="G170" s="21">
        <v>2004.0</v>
      </c>
      <c r="K170" s="21">
        <v>-8.13458916214937</v>
      </c>
      <c r="L170" s="21">
        <v>115.059569451748</v>
      </c>
      <c r="M170" s="21" t="s">
        <v>441</v>
      </c>
      <c r="N170" s="21" t="s">
        <v>229</v>
      </c>
      <c r="O170" s="21" t="s">
        <v>48</v>
      </c>
      <c r="T170" s="20"/>
      <c r="AO170" s="21" t="s">
        <v>53</v>
      </c>
    </row>
    <row r="171">
      <c r="A171" s="21" t="s">
        <v>443</v>
      </c>
      <c r="B171" s="21" t="s">
        <v>444</v>
      </c>
      <c r="C171" s="23" t="s">
        <v>445</v>
      </c>
      <c r="D171" s="24" t="s">
        <v>446</v>
      </c>
      <c r="E171" s="18">
        <v>50.0</v>
      </c>
      <c r="F171" s="15" t="s">
        <v>334</v>
      </c>
      <c r="G171" s="14">
        <v>2007.0</v>
      </c>
      <c r="K171" s="14">
        <v>-6.385474</v>
      </c>
      <c r="L171" s="14">
        <v>107.343624</v>
      </c>
      <c r="M171" s="14" t="s">
        <v>447</v>
      </c>
      <c r="N171" s="14" t="s">
        <v>448</v>
      </c>
      <c r="O171" s="21" t="s">
        <v>88</v>
      </c>
      <c r="Q171" s="14" t="s">
        <v>449</v>
      </c>
      <c r="R171" s="14" t="s">
        <v>49</v>
      </c>
      <c r="S171" s="14" t="s">
        <v>450</v>
      </c>
      <c r="T171" s="20" t="s">
        <v>451</v>
      </c>
      <c r="U171" s="21" t="s">
        <v>452</v>
      </c>
      <c r="AL171" s="21"/>
      <c r="AM171" s="21" t="s">
        <v>53</v>
      </c>
    </row>
    <row r="172">
      <c r="A172" s="21" t="s">
        <v>453</v>
      </c>
      <c r="B172" s="21" t="s">
        <v>454</v>
      </c>
      <c r="C172" s="23" t="s">
        <v>455</v>
      </c>
      <c r="D172" s="24" t="s">
        <v>456</v>
      </c>
      <c r="E172" s="18">
        <v>50.0</v>
      </c>
      <c r="F172" s="15" t="s">
        <v>334</v>
      </c>
      <c r="G172" s="14">
        <v>2011.0</v>
      </c>
      <c r="K172" s="14">
        <v>-1.595518</v>
      </c>
      <c r="L172" s="14">
        <v>103.646044</v>
      </c>
      <c r="M172" s="14" t="s">
        <v>457</v>
      </c>
      <c r="N172" s="14" t="s">
        <v>457</v>
      </c>
      <c r="O172" s="21" t="s">
        <v>129</v>
      </c>
      <c r="R172" s="14" t="s">
        <v>62</v>
      </c>
      <c r="S172" s="14" t="s">
        <v>458</v>
      </c>
      <c r="T172" s="20" t="s">
        <v>459</v>
      </c>
      <c r="U172" s="21" t="s">
        <v>144</v>
      </c>
      <c r="AL172" s="21"/>
      <c r="AM172" s="21" t="s">
        <v>53</v>
      </c>
    </row>
    <row r="173">
      <c r="A173" s="21" t="s">
        <v>453</v>
      </c>
      <c r="B173" s="21" t="s">
        <v>460</v>
      </c>
      <c r="C173" s="23" t="s">
        <v>455</v>
      </c>
      <c r="D173" s="24" t="s">
        <v>456</v>
      </c>
      <c r="E173" s="18">
        <v>50.0</v>
      </c>
      <c r="F173" s="15" t="s">
        <v>334</v>
      </c>
      <c r="G173" s="14">
        <v>2011.0</v>
      </c>
      <c r="K173" s="14">
        <v>-1.595518</v>
      </c>
      <c r="L173" s="14">
        <v>103.646044</v>
      </c>
      <c r="M173" s="14" t="s">
        <v>457</v>
      </c>
      <c r="N173" s="14" t="s">
        <v>457</v>
      </c>
      <c r="O173" s="21" t="s">
        <v>129</v>
      </c>
      <c r="R173" s="14" t="s">
        <v>62</v>
      </c>
      <c r="S173" s="14" t="s">
        <v>458</v>
      </c>
      <c r="T173" s="20" t="s">
        <v>459</v>
      </c>
      <c r="U173" s="21" t="s">
        <v>144</v>
      </c>
      <c r="AL173" s="21"/>
      <c r="AM173" s="21" t="s">
        <v>53</v>
      </c>
    </row>
    <row r="174">
      <c r="A174" s="21" t="s">
        <v>461</v>
      </c>
      <c r="B174" s="21" t="s">
        <v>462</v>
      </c>
      <c r="C174" s="23" t="s">
        <v>463</v>
      </c>
      <c r="D174" s="24" t="s">
        <v>464</v>
      </c>
      <c r="E174" s="18">
        <v>50.0</v>
      </c>
      <c r="F174" s="15" t="s">
        <v>334</v>
      </c>
      <c r="G174" s="14">
        <v>2013.0</v>
      </c>
      <c r="K174" s="14">
        <v>-0.384362</v>
      </c>
      <c r="L174" s="14">
        <v>117.051473</v>
      </c>
      <c r="M174" s="14" t="s">
        <v>465</v>
      </c>
      <c r="N174" s="14" t="s">
        <v>308</v>
      </c>
      <c r="O174" s="21" t="s">
        <v>48</v>
      </c>
      <c r="R174" s="14" t="s">
        <v>49</v>
      </c>
      <c r="S174" s="14" t="s">
        <v>50</v>
      </c>
      <c r="T174" s="20" t="s">
        <v>51</v>
      </c>
      <c r="U174" s="21" t="s">
        <v>144</v>
      </c>
      <c r="AL174" s="21"/>
      <c r="AM174" s="21" t="s">
        <v>53</v>
      </c>
    </row>
    <row r="175">
      <c r="A175" s="21" t="s">
        <v>461</v>
      </c>
      <c r="B175" s="21" t="s">
        <v>466</v>
      </c>
      <c r="C175" s="23" t="s">
        <v>463</v>
      </c>
      <c r="D175" s="24" t="s">
        <v>464</v>
      </c>
      <c r="E175" s="18">
        <v>50.0</v>
      </c>
      <c r="F175" s="15" t="s">
        <v>334</v>
      </c>
      <c r="G175" s="14">
        <v>2013.0</v>
      </c>
      <c r="K175" s="14">
        <v>-0.384362</v>
      </c>
      <c r="L175" s="14">
        <v>117.051473</v>
      </c>
      <c r="M175" s="14" t="s">
        <v>465</v>
      </c>
      <c r="N175" s="14" t="s">
        <v>308</v>
      </c>
      <c r="O175" s="21" t="s">
        <v>48</v>
      </c>
      <c r="R175" s="14" t="s">
        <v>49</v>
      </c>
      <c r="S175" s="14" t="s">
        <v>50</v>
      </c>
      <c r="T175" s="20" t="s">
        <v>51</v>
      </c>
      <c r="U175" s="21" t="s">
        <v>144</v>
      </c>
      <c r="AL175" s="21"/>
      <c r="AM175" s="21" t="s">
        <v>53</v>
      </c>
    </row>
    <row r="176">
      <c r="A176" s="21" t="s">
        <v>467</v>
      </c>
      <c r="B176" s="21" t="s">
        <v>468</v>
      </c>
      <c r="C176" s="23" t="s">
        <v>469</v>
      </c>
      <c r="D176" s="24" t="s">
        <v>470</v>
      </c>
      <c r="E176" s="18">
        <v>50.0</v>
      </c>
      <c r="F176" s="15" t="s">
        <v>334</v>
      </c>
      <c r="G176" s="14">
        <v>1978.0</v>
      </c>
      <c r="K176" s="14">
        <v>-7.209975</v>
      </c>
      <c r="L176" s="14">
        <v>112.723895</v>
      </c>
      <c r="M176" s="14" t="s">
        <v>471</v>
      </c>
      <c r="N176" s="14" t="s">
        <v>103</v>
      </c>
      <c r="O176" s="21" t="s">
        <v>48</v>
      </c>
      <c r="R176" s="14" t="s">
        <v>49</v>
      </c>
      <c r="S176" s="14" t="s">
        <v>472</v>
      </c>
      <c r="T176" s="20" t="s">
        <v>51</v>
      </c>
      <c r="U176" s="21" t="s">
        <v>473</v>
      </c>
      <c r="AL176" s="21"/>
      <c r="AM176" s="21" t="s">
        <v>53</v>
      </c>
    </row>
    <row r="177">
      <c r="A177" s="21" t="s">
        <v>467</v>
      </c>
      <c r="B177" s="21" t="s">
        <v>474</v>
      </c>
      <c r="C177" s="23" t="s">
        <v>469</v>
      </c>
      <c r="D177" s="24" t="s">
        <v>470</v>
      </c>
      <c r="E177" s="18">
        <v>50.0</v>
      </c>
      <c r="F177" s="15" t="s">
        <v>334</v>
      </c>
      <c r="G177" s="14">
        <v>1978.0</v>
      </c>
      <c r="K177" s="14">
        <v>-7.209975</v>
      </c>
      <c r="L177" s="14">
        <v>112.723895</v>
      </c>
      <c r="M177" s="14" t="s">
        <v>471</v>
      </c>
      <c r="N177" s="14" t="s">
        <v>103</v>
      </c>
      <c r="O177" s="21" t="s">
        <v>48</v>
      </c>
      <c r="R177" s="14" t="s">
        <v>49</v>
      </c>
      <c r="S177" s="14" t="s">
        <v>472</v>
      </c>
      <c r="T177" s="20" t="s">
        <v>51</v>
      </c>
      <c r="U177" s="21" t="s">
        <v>473</v>
      </c>
      <c r="AL177" s="21"/>
      <c r="AM177" s="21" t="s">
        <v>53</v>
      </c>
    </row>
    <row r="178">
      <c r="A178" s="21" t="s">
        <v>475</v>
      </c>
      <c r="B178" s="21" t="s">
        <v>476</v>
      </c>
      <c r="C178" s="23" t="s">
        <v>477</v>
      </c>
      <c r="D178" s="24" t="s">
        <v>478</v>
      </c>
      <c r="E178" s="18">
        <v>50.0</v>
      </c>
      <c r="F178" s="15" t="s">
        <v>334</v>
      </c>
      <c r="G178" s="14" t="s">
        <v>80</v>
      </c>
      <c r="K178" s="14">
        <v>-8.484007</v>
      </c>
      <c r="L178" s="14">
        <v>117.364867</v>
      </c>
      <c r="M178" s="14" t="s">
        <v>479</v>
      </c>
      <c r="N178" s="14" t="s">
        <v>326</v>
      </c>
      <c r="O178" s="21" t="s">
        <v>48</v>
      </c>
      <c r="R178" s="14" t="s">
        <v>62</v>
      </c>
      <c r="S178" s="14" t="s">
        <v>50</v>
      </c>
      <c r="T178" s="20" t="s">
        <v>51</v>
      </c>
      <c r="U178" s="21" t="s">
        <v>480</v>
      </c>
      <c r="AL178" s="21"/>
      <c r="AM178" s="21" t="s">
        <v>53</v>
      </c>
    </row>
    <row r="179">
      <c r="A179" s="21" t="s">
        <v>481</v>
      </c>
      <c r="B179" s="21" t="s">
        <v>482</v>
      </c>
      <c r="C179" s="23" t="s">
        <v>483</v>
      </c>
      <c r="D179" s="24" t="s">
        <v>484</v>
      </c>
      <c r="E179" s="18">
        <v>50.0</v>
      </c>
      <c r="F179" s="15" t="s">
        <v>334</v>
      </c>
      <c r="G179" s="14" t="s">
        <v>80</v>
      </c>
      <c r="K179" s="14">
        <v>-6.9505</v>
      </c>
      <c r="L179" s="14">
        <v>110.434</v>
      </c>
      <c r="M179" s="14" t="s">
        <v>485</v>
      </c>
      <c r="N179" s="14" t="s">
        <v>486</v>
      </c>
      <c r="O179" s="21" t="s">
        <v>48</v>
      </c>
      <c r="R179" s="14" t="s">
        <v>487</v>
      </c>
      <c r="S179" s="14" t="s">
        <v>472</v>
      </c>
      <c r="T179" s="20" t="s">
        <v>51</v>
      </c>
      <c r="U179" s="21" t="s">
        <v>473</v>
      </c>
      <c r="AL179" s="21"/>
      <c r="AM179" s="21" t="s">
        <v>53</v>
      </c>
    </row>
    <row r="180">
      <c r="A180" s="21" t="s">
        <v>481</v>
      </c>
      <c r="B180" s="21" t="s">
        <v>488</v>
      </c>
      <c r="C180" s="23" t="s">
        <v>483</v>
      </c>
      <c r="D180" s="24" t="s">
        <v>484</v>
      </c>
      <c r="E180" s="18">
        <v>50.0</v>
      </c>
      <c r="F180" s="15" t="s">
        <v>334</v>
      </c>
      <c r="G180" s="14" t="s">
        <v>80</v>
      </c>
      <c r="K180" s="14">
        <v>-6.9505</v>
      </c>
      <c r="L180" s="14">
        <v>110.434</v>
      </c>
      <c r="M180" s="14" t="s">
        <v>485</v>
      </c>
      <c r="N180" s="14" t="s">
        <v>486</v>
      </c>
      <c r="O180" s="21" t="s">
        <v>48</v>
      </c>
      <c r="R180" s="14" t="s">
        <v>487</v>
      </c>
      <c r="S180" s="14" t="s">
        <v>472</v>
      </c>
      <c r="T180" s="20" t="s">
        <v>51</v>
      </c>
      <c r="U180" s="21" t="s">
        <v>473</v>
      </c>
      <c r="AL180" s="21"/>
      <c r="AM180" s="21" t="s">
        <v>53</v>
      </c>
    </row>
    <row r="181">
      <c r="D181" s="24" t="s">
        <v>489</v>
      </c>
      <c r="E181" s="19">
        <v>50.0</v>
      </c>
      <c r="F181" s="19" t="s">
        <v>334</v>
      </c>
      <c r="G181" s="23">
        <v>2017.0</v>
      </c>
      <c r="K181" s="21">
        <v>0.0584070765557553</v>
      </c>
      <c r="L181" s="21">
        <v>109.203504451673</v>
      </c>
      <c r="M181" s="21" t="s">
        <v>419</v>
      </c>
      <c r="N181" s="21" t="s">
        <v>420</v>
      </c>
      <c r="T181" s="20"/>
      <c r="AO181" s="21" t="s">
        <v>53</v>
      </c>
    </row>
    <row r="182">
      <c r="D182" s="24" t="s">
        <v>490</v>
      </c>
      <c r="E182" s="19">
        <v>50.0</v>
      </c>
      <c r="F182" s="19" t="s">
        <v>334</v>
      </c>
      <c r="G182" s="37">
        <v>2017.0</v>
      </c>
      <c r="K182" s="21">
        <v>0.0584070765557553</v>
      </c>
      <c r="L182" s="21">
        <v>109.203504451673</v>
      </c>
      <c r="M182" s="21" t="s">
        <v>419</v>
      </c>
      <c r="N182" s="21" t="s">
        <v>420</v>
      </c>
      <c r="T182" s="20"/>
      <c r="AO182" s="21" t="s">
        <v>53</v>
      </c>
    </row>
    <row r="183">
      <c r="D183" s="38" t="s">
        <v>491</v>
      </c>
      <c r="E183" s="19">
        <v>50.0</v>
      </c>
      <c r="F183" s="19" t="s">
        <v>334</v>
      </c>
      <c r="G183" s="39">
        <v>2016.0</v>
      </c>
      <c r="K183" s="21">
        <v>3.71355264247858</v>
      </c>
      <c r="L183" s="21">
        <v>98.6644668423285</v>
      </c>
      <c r="M183" s="21" t="s">
        <v>95</v>
      </c>
      <c r="N183" s="21" t="s">
        <v>96</v>
      </c>
      <c r="O183" s="21"/>
      <c r="R183" s="21"/>
      <c r="S183" s="21"/>
      <c r="T183" s="20"/>
      <c r="U183" s="21"/>
      <c r="AO183" s="21" t="s">
        <v>53</v>
      </c>
    </row>
    <row r="184">
      <c r="A184" s="15"/>
      <c r="B184" s="15"/>
      <c r="C184" s="15"/>
      <c r="D184" s="27" t="s">
        <v>492</v>
      </c>
      <c r="E184" s="28">
        <v>50.0</v>
      </c>
      <c r="F184" s="30" t="s">
        <v>334</v>
      </c>
      <c r="G184" s="40">
        <v>2016.0</v>
      </c>
      <c r="H184" s="15"/>
      <c r="I184" s="15"/>
      <c r="J184" s="15"/>
      <c r="K184" s="28">
        <v>-8.65955791248143</v>
      </c>
      <c r="L184" s="28">
        <v>116.074217530389</v>
      </c>
      <c r="M184" s="30" t="s">
        <v>493</v>
      </c>
      <c r="N184" s="30" t="s">
        <v>326</v>
      </c>
      <c r="O184" s="30"/>
      <c r="P184" s="15"/>
      <c r="Q184" s="15"/>
      <c r="R184" s="30"/>
      <c r="S184" s="30"/>
      <c r="T184" s="15"/>
      <c r="U184" s="30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30"/>
    </row>
    <row r="185">
      <c r="A185" s="21" t="s">
        <v>494</v>
      </c>
      <c r="B185" s="21" t="s">
        <v>495</v>
      </c>
      <c r="C185" s="23" t="s">
        <v>496</v>
      </c>
      <c r="D185" s="24" t="s">
        <v>497</v>
      </c>
      <c r="E185" s="18">
        <v>56.4</v>
      </c>
      <c r="F185" s="15" t="s">
        <v>334</v>
      </c>
      <c r="G185" s="14">
        <v>2016.0</v>
      </c>
      <c r="K185" s="14">
        <v>-1.596978</v>
      </c>
      <c r="L185" s="14">
        <v>103.641324</v>
      </c>
      <c r="M185" s="14" t="s">
        <v>498</v>
      </c>
      <c r="N185" s="14" t="s">
        <v>457</v>
      </c>
      <c r="O185" s="21" t="s">
        <v>88</v>
      </c>
      <c r="R185" s="14" t="s">
        <v>62</v>
      </c>
      <c r="S185" s="14" t="s">
        <v>499</v>
      </c>
      <c r="T185" s="20" t="s">
        <v>500</v>
      </c>
      <c r="U185" s="21" t="s">
        <v>480</v>
      </c>
      <c r="AL185" s="21"/>
      <c r="AM185" s="21" t="s">
        <v>53</v>
      </c>
      <c r="AP185" s="21"/>
      <c r="AQ185" s="21"/>
      <c r="AR185" s="21"/>
      <c r="AS185" s="21"/>
      <c r="AT185" s="21"/>
    </row>
    <row r="186">
      <c r="A186" s="21" t="s">
        <v>501</v>
      </c>
      <c r="B186" s="21" t="s">
        <v>502</v>
      </c>
      <c r="C186" s="23" t="s">
        <v>503</v>
      </c>
      <c r="D186" s="24" t="s">
        <v>504</v>
      </c>
      <c r="E186" s="18">
        <v>56.4</v>
      </c>
      <c r="F186" s="15" t="s">
        <v>334</v>
      </c>
      <c r="G186" s="14">
        <v>2015.0</v>
      </c>
      <c r="K186" s="14">
        <v>-2.957366</v>
      </c>
      <c r="L186" s="14">
        <v>104.776349</v>
      </c>
      <c r="M186" s="14" t="s">
        <v>365</v>
      </c>
      <c r="N186" s="14" t="s">
        <v>358</v>
      </c>
      <c r="O186" s="21" t="s">
        <v>88</v>
      </c>
      <c r="R186" s="14" t="s">
        <v>62</v>
      </c>
      <c r="S186" s="14" t="s">
        <v>499</v>
      </c>
      <c r="T186" s="20" t="s">
        <v>500</v>
      </c>
      <c r="U186" s="21" t="s">
        <v>480</v>
      </c>
      <c r="AL186" s="21"/>
      <c r="AM186" s="21" t="s">
        <v>53</v>
      </c>
    </row>
    <row r="187">
      <c r="A187" s="21" t="s">
        <v>58</v>
      </c>
      <c r="B187" s="21" t="s">
        <v>505</v>
      </c>
      <c r="C187" s="23" t="s">
        <v>60</v>
      </c>
      <c r="D187" s="24" t="s">
        <v>61</v>
      </c>
      <c r="E187" s="18">
        <v>57.0</v>
      </c>
      <c r="F187" s="15" t="s">
        <v>334</v>
      </c>
      <c r="G187" s="14">
        <v>2017.0</v>
      </c>
      <c r="K187" s="14">
        <v>-2.616361</v>
      </c>
      <c r="L187" s="14">
        <v>140.789297</v>
      </c>
      <c r="M187" s="14" t="s">
        <v>46</v>
      </c>
      <c r="N187" s="14" t="s">
        <v>47</v>
      </c>
      <c r="O187" s="21" t="s">
        <v>48</v>
      </c>
      <c r="R187" s="14" t="s">
        <v>49</v>
      </c>
      <c r="S187" s="14" t="s">
        <v>50</v>
      </c>
      <c r="T187" s="20" t="s">
        <v>51</v>
      </c>
      <c r="U187" s="21" t="s">
        <v>480</v>
      </c>
      <c r="AL187" s="21"/>
      <c r="AM187" s="21" t="s">
        <v>53</v>
      </c>
    </row>
    <row r="188">
      <c r="A188" s="21" t="s">
        <v>506</v>
      </c>
      <c r="B188" s="21" t="s">
        <v>507</v>
      </c>
      <c r="C188" s="23" t="s">
        <v>508</v>
      </c>
      <c r="D188" s="24" t="s">
        <v>509</v>
      </c>
      <c r="E188" s="18">
        <v>58.5</v>
      </c>
      <c r="F188" s="15" t="s">
        <v>334</v>
      </c>
      <c r="G188" s="14">
        <v>1981.0</v>
      </c>
      <c r="K188" s="14">
        <v>5.540313</v>
      </c>
      <c r="L188" s="14">
        <v>95.341225</v>
      </c>
      <c r="M188" s="14" t="s">
        <v>402</v>
      </c>
      <c r="N188" s="14" t="s">
        <v>75</v>
      </c>
      <c r="O188" s="21" t="s">
        <v>48</v>
      </c>
      <c r="R188" s="14" t="s">
        <v>487</v>
      </c>
      <c r="S188" s="14" t="s">
        <v>50</v>
      </c>
      <c r="T188" s="20" t="s">
        <v>51</v>
      </c>
      <c r="U188" s="21" t="s">
        <v>480</v>
      </c>
      <c r="AL188" s="21"/>
      <c r="AM188" s="21" t="s">
        <v>53</v>
      </c>
    </row>
    <row r="189">
      <c r="A189" s="21" t="s">
        <v>510</v>
      </c>
      <c r="B189" s="21" t="s">
        <v>511</v>
      </c>
      <c r="C189" s="23" t="s">
        <v>512</v>
      </c>
      <c r="D189" s="24" t="s">
        <v>513</v>
      </c>
      <c r="E189" s="18">
        <v>60.0</v>
      </c>
      <c r="F189" s="15" t="s">
        <v>334</v>
      </c>
      <c r="G189" s="14">
        <v>2024.0</v>
      </c>
      <c r="K189" s="14">
        <v>-3.891103</v>
      </c>
      <c r="L189" s="14">
        <v>121.279632</v>
      </c>
      <c r="N189" s="14" t="s">
        <v>514</v>
      </c>
      <c r="O189" s="45" t="s">
        <v>48</v>
      </c>
      <c r="P189" s="14" t="s">
        <v>309</v>
      </c>
      <c r="Q189" s="14" t="s">
        <v>515</v>
      </c>
      <c r="R189" s="14" t="s">
        <v>49</v>
      </c>
      <c r="S189" s="14" t="s">
        <v>516</v>
      </c>
      <c r="T189" s="20" t="s">
        <v>69</v>
      </c>
      <c r="U189" s="21" t="s">
        <v>480</v>
      </c>
      <c r="AL189" s="21"/>
      <c r="AM189" s="21" t="s">
        <v>53</v>
      </c>
    </row>
    <row r="190">
      <c r="A190" s="21" t="s">
        <v>517</v>
      </c>
      <c r="B190" s="21" t="s">
        <v>518</v>
      </c>
      <c r="C190" s="23" t="s">
        <v>519</v>
      </c>
      <c r="D190" s="24" t="s">
        <v>520</v>
      </c>
      <c r="E190" s="18">
        <v>60.0</v>
      </c>
      <c r="F190" s="15" t="s">
        <v>334</v>
      </c>
      <c r="G190" s="14">
        <v>2022.0</v>
      </c>
      <c r="K190" s="14">
        <v>-3.550482</v>
      </c>
      <c r="L190" s="14">
        <v>128.335732</v>
      </c>
      <c r="M190" s="14" t="s">
        <v>521</v>
      </c>
      <c r="N190" s="14" t="s">
        <v>522</v>
      </c>
      <c r="O190" s="21" t="s">
        <v>48</v>
      </c>
      <c r="R190" s="14" t="s">
        <v>49</v>
      </c>
      <c r="S190" s="14" t="s">
        <v>50</v>
      </c>
      <c r="T190" s="20" t="s">
        <v>51</v>
      </c>
      <c r="U190" s="21" t="s">
        <v>480</v>
      </c>
      <c r="AL190" s="21"/>
      <c r="AM190" s="21" t="s">
        <v>53</v>
      </c>
    </row>
    <row r="191">
      <c r="A191" s="21" t="s">
        <v>523</v>
      </c>
      <c r="B191" s="21" t="s">
        <v>524</v>
      </c>
      <c r="C191" s="23" t="s">
        <v>525</v>
      </c>
      <c r="D191" s="24" t="s">
        <v>526</v>
      </c>
      <c r="E191" s="18">
        <v>60.0</v>
      </c>
      <c r="F191" s="15" t="s">
        <v>334</v>
      </c>
      <c r="G191" s="14">
        <v>1997.0</v>
      </c>
      <c r="K191" s="14">
        <v>-0.381356</v>
      </c>
      <c r="L191" s="14">
        <v>117.051316</v>
      </c>
      <c r="M191" s="14" t="s">
        <v>527</v>
      </c>
      <c r="N191" s="14" t="s">
        <v>308</v>
      </c>
      <c r="O191" s="21" t="s">
        <v>48</v>
      </c>
      <c r="R191" s="14" t="s">
        <v>49</v>
      </c>
      <c r="S191" s="14" t="s">
        <v>50</v>
      </c>
      <c r="T191" s="20" t="s">
        <v>51</v>
      </c>
      <c r="U191" s="21" t="s">
        <v>70</v>
      </c>
      <c r="AA191" s="21"/>
      <c r="AB191" s="21">
        <v>122.71</v>
      </c>
      <c r="AE191" s="21">
        <v>22.995</v>
      </c>
      <c r="AG191" s="21" t="s">
        <v>528</v>
      </c>
      <c r="AH191" s="21">
        <v>20.0</v>
      </c>
      <c r="AK191" s="21">
        <v>15.0</v>
      </c>
      <c r="AL191" s="21"/>
      <c r="AM191" s="21" t="s">
        <v>53</v>
      </c>
      <c r="AN191" s="21"/>
      <c r="AO191" s="21"/>
    </row>
    <row r="192">
      <c r="A192" s="21" t="s">
        <v>529</v>
      </c>
      <c r="B192" s="21" t="s">
        <v>530</v>
      </c>
      <c r="C192" s="23" t="s">
        <v>531</v>
      </c>
      <c r="D192" s="24" t="s">
        <v>532</v>
      </c>
      <c r="E192" s="18">
        <v>65.0</v>
      </c>
      <c r="F192" s="15" t="s">
        <v>334</v>
      </c>
      <c r="G192" s="14">
        <v>1984.0</v>
      </c>
      <c r="K192" s="14">
        <v>3.773148</v>
      </c>
      <c r="L192" s="14">
        <v>98.670029</v>
      </c>
      <c r="M192" s="14" t="s">
        <v>533</v>
      </c>
      <c r="N192" s="14" t="s">
        <v>96</v>
      </c>
      <c r="O192" s="21" t="s">
        <v>48</v>
      </c>
      <c r="R192" s="14" t="s">
        <v>49</v>
      </c>
      <c r="S192" s="14" t="s">
        <v>50</v>
      </c>
      <c r="T192" s="20" t="s">
        <v>51</v>
      </c>
      <c r="U192" s="21" t="s">
        <v>473</v>
      </c>
      <c r="AL192" s="21"/>
      <c r="AM192" s="21" t="s">
        <v>53</v>
      </c>
    </row>
    <row r="193">
      <c r="A193" s="21" t="s">
        <v>529</v>
      </c>
      <c r="B193" s="21" t="s">
        <v>534</v>
      </c>
      <c r="C193" s="23" t="s">
        <v>531</v>
      </c>
      <c r="D193" s="24" t="s">
        <v>532</v>
      </c>
      <c r="E193" s="18">
        <v>65.0</v>
      </c>
      <c r="F193" s="15" t="s">
        <v>334</v>
      </c>
      <c r="G193" s="14">
        <v>1984.0</v>
      </c>
      <c r="K193" s="14">
        <v>3.773148</v>
      </c>
      <c r="L193" s="14">
        <v>98.670029</v>
      </c>
      <c r="M193" s="14" t="s">
        <v>533</v>
      </c>
      <c r="N193" s="14" t="s">
        <v>96</v>
      </c>
      <c r="O193" s="21" t="s">
        <v>48</v>
      </c>
      <c r="R193" s="14" t="s">
        <v>49</v>
      </c>
      <c r="S193" s="14" t="s">
        <v>50</v>
      </c>
      <c r="T193" s="20" t="s">
        <v>51</v>
      </c>
      <c r="U193" s="21" t="s">
        <v>473</v>
      </c>
      <c r="AL193" s="21"/>
      <c r="AM193" s="21" t="s">
        <v>53</v>
      </c>
    </row>
    <row r="194">
      <c r="A194" s="21" t="s">
        <v>529</v>
      </c>
      <c r="B194" s="21" t="s">
        <v>535</v>
      </c>
      <c r="C194" s="23" t="s">
        <v>531</v>
      </c>
      <c r="D194" s="24" t="s">
        <v>532</v>
      </c>
      <c r="E194" s="18">
        <v>65.0</v>
      </c>
      <c r="F194" s="15" t="s">
        <v>334</v>
      </c>
      <c r="G194" s="14">
        <v>1984.0</v>
      </c>
      <c r="K194" s="14">
        <v>3.773148</v>
      </c>
      <c r="L194" s="14">
        <v>98.670029</v>
      </c>
      <c r="M194" s="14" t="s">
        <v>533</v>
      </c>
      <c r="N194" s="14" t="s">
        <v>96</v>
      </c>
      <c r="O194" s="21" t="s">
        <v>48</v>
      </c>
      <c r="R194" s="14" t="s">
        <v>49</v>
      </c>
      <c r="S194" s="14" t="s">
        <v>50</v>
      </c>
      <c r="T194" s="20" t="s">
        <v>51</v>
      </c>
      <c r="U194" s="21" t="s">
        <v>473</v>
      </c>
      <c r="AL194" s="21"/>
      <c r="AM194" s="21" t="s">
        <v>53</v>
      </c>
    </row>
    <row r="195">
      <c r="A195" s="21" t="s">
        <v>529</v>
      </c>
      <c r="B195" s="21" t="s">
        <v>536</v>
      </c>
      <c r="C195" s="23" t="s">
        <v>531</v>
      </c>
      <c r="D195" s="24" t="s">
        <v>532</v>
      </c>
      <c r="E195" s="18">
        <v>65.0</v>
      </c>
      <c r="F195" s="15" t="s">
        <v>334</v>
      </c>
      <c r="G195" s="14">
        <v>1984.0</v>
      </c>
      <c r="K195" s="14">
        <v>3.773148</v>
      </c>
      <c r="L195" s="14">
        <v>98.670029</v>
      </c>
      <c r="M195" s="14" t="s">
        <v>533</v>
      </c>
      <c r="N195" s="14" t="s">
        <v>96</v>
      </c>
      <c r="O195" s="21" t="s">
        <v>48</v>
      </c>
      <c r="R195" s="14" t="s">
        <v>49</v>
      </c>
      <c r="S195" s="14" t="s">
        <v>50</v>
      </c>
      <c r="T195" s="20" t="s">
        <v>51</v>
      </c>
      <c r="U195" s="21" t="s">
        <v>473</v>
      </c>
      <c r="AL195" s="21"/>
      <c r="AM195" s="21" t="s">
        <v>53</v>
      </c>
    </row>
    <row r="196">
      <c r="D196" s="24" t="s">
        <v>537</v>
      </c>
      <c r="E196" s="19">
        <v>66.0</v>
      </c>
      <c r="F196" s="19" t="s">
        <v>334</v>
      </c>
      <c r="G196" s="21">
        <v>2015.0</v>
      </c>
      <c r="K196" s="21">
        <v>-0.73575860457468</v>
      </c>
      <c r="L196" s="21">
        <v>122.55489711079</v>
      </c>
      <c r="M196" s="21" t="s">
        <v>538</v>
      </c>
      <c r="N196" s="21" t="s">
        <v>539</v>
      </c>
      <c r="O196" s="21" t="s">
        <v>540</v>
      </c>
      <c r="T196" s="20"/>
      <c r="U196" s="21" t="s">
        <v>541</v>
      </c>
      <c r="AO196" s="21" t="s">
        <v>53</v>
      </c>
    </row>
    <row r="197">
      <c r="A197" s="15"/>
      <c r="B197" s="15"/>
      <c r="C197" s="15"/>
      <c r="D197" s="27" t="s">
        <v>542</v>
      </c>
      <c r="E197" s="28">
        <v>75.0</v>
      </c>
      <c r="F197" s="30" t="s">
        <v>334</v>
      </c>
      <c r="G197" s="40">
        <v>2016.0</v>
      </c>
      <c r="H197" s="15"/>
      <c r="I197" s="15"/>
      <c r="J197" s="15"/>
      <c r="K197" s="28">
        <v>-2.07584801686143</v>
      </c>
      <c r="L197" s="28">
        <v>106.148945299356</v>
      </c>
      <c r="M197" s="30" t="s">
        <v>543</v>
      </c>
      <c r="N197" s="30" t="s">
        <v>544</v>
      </c>
      <c r="O197" s="30"/>
      <c r="P197" s="15"/>
      <c r="Q197" s="15"/>
      <c r="R197" s="30"/>
      <c r="S197" s="30"/>
      <c r="T197" s="15"/>
      <c r="U197" s="30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21" t="s">
        <v>53</v>
      </c>
    </row>
    <row r="198">
      <c r="A198" s="21" t="s">
        <v>545</v>
      </c>
      <c r="B198" s="21" t="s">
        <v>546</v>
      </c>
      <c r="C198" s="23" t="s">
        <v>547</v>
      </c>
      <c r="D198" s="24" t="s">
        <v>548</v>
      </c>
      <c r="E198" s="18">
        <v>80.0</v>
      </c>
      <c r="F198" s="15" t="s">
        <v>334</v>
      </c>
      <c r="G198" s="14">
        <v>1978.0</v>
      </c>
      <c r="K198" s="14">
        <v>-5.994087</v>
      </c>
      <c r="L198" s="14">
        <v>105.984131</v>
      </c>
      <c r="M198" s="14" t="s">
        <v>431</v>
      </c>
      <c r="N198" s="14" t="s">
        <v>87</v>
      </c>
      <c r="O198" s="45" t="s">
        <v>129</v>
      </c>
      <c r="R198" s="14" t="s">
        <v>49</v>
      </c>
      <c r="S198" s="14" t="s">
        <v>89</v>
      </c>
      <c r="T198" s="20" t="s">
        <v>90</v>
      </c>
      <c r="U198" s="21" t="s">
        <v>473</v>
      </c>
      <c r="AL198" s="21"/>
      <c r="AM198" s="21" t="s">
        <v>53</v>
      </c>
    </row>
    <row r="199">
      <c r="A199" s="21" t="s">
        <v>545</v>
      </c>
      <c r="B199" s="21" t="s">
        <v>549</v>
      </c>
      <c r="C199" s="23" t="s">
        <v>547</v>
      </c>
      <c r="D199" s="24" t="s">
        <v>548</v>
      </c>
      <c r="E199" s="18">
        <v>80.0</v>
      </c>
      <c r="F199" s="15" t="s">
        <v>334</v>
      </c>
      <c r="G199" s="14">
        <v>1978.0</v>
      </c>
      <c r="K199" s="14">
        <v>-5.994087</v>
      </c>
      <c r="L199" s="14">
        <v>105.984131</v>
      </c>
      <c r="M199" s="14" t="s">
        <v>431</v>
      </c>
      <c r="N199" s="14" t="s">
        <v>87</v>
      </c>
      <c r="O199" s="45" t="s">
        <v>129</v>
      </c>
      <c r="R199" s="14" t="s">
        <v>49</v>
      </c>
      <c r="S199" s="14" t="s">
        <v>89</v>
      </c>
      <c r="T199" s="20" t="s">
        <v>90</v>
      </c>
      <c r="U199" s="21" t="s">
        <v>473</v>
      </c>
      <c r="AL199" s="21"/>
      <c r="AM199" s="21" t="s">
        <v>53</v>
      </c>
    </row>
    <row r="200">
      <c r="A200" s="21" t="s">
        <v>545</v>
      </c>
      <c r="B200" s="21" t="s">
        <v>550</v>
      </c>
      <c r="C200" s="23" t="s">
        <v>547</v>
      </c>
      <c r="D200" s="24" t="s">
        <v>548</v>
      </c>
      <c r="E200" s="18">
        <v>80.0</v>
      </c>
      <c r="F200" s="15" t="s">
        <v>334</v>
      </c>
      <c r="G200" s="14">
        <v>1978.0</v>
      </c>
      <c r="K200" s="14">
        <v>-5.994087</v>
      </c>
      <c r="L200" s="14">
        <v>105.984131</v>
      </c>
      <c r="M200" s="14" t="s">
        <v>431</v>
      </c>
      <c r="N200" s="14" t="s">
        <v>87</v>
      </c>
      <c r="O200" s="45" t="s">
        <v>129</v>
      </c>
      <c r="R200" s="14" t="s">
        <v>49</v>
      </c>
      <c r="S200" s="14" t="s">
        <v>89</v>
      </c>
      <c r="T200" s="20" t="s">
        <v>90</v>
      </c>
      <c r="U200" s="21" t="s">
        <v>473</v>
      </c>
      <c r="AL200" s="21"/>
      <c r="AM200" s="21" t="s">
        <v>53</v>
      </c>
    </row>
    <row r="201">
      <c r="A201" s="21" t="s">
        <v>545</v>
      </c>
      <c r="B201" s="21" t="s">
        <v>551</v>
      </c>
      <c r="C201" s="23" t="s">
        <v>547</v>
      </c>
      <c r="D201" s="24" t="s">
        <v>548</v>
      </c>
      <c r="E201" s="18">
        <v>80.0</v>
      </c>
      <c r="F201" s="15" t="s">
        <v>334</v>
      </c>
      <c r="G201" s="14">
        <v>1978.0</v>
      </c>
      <c r="K201" s="14">
        <v>-5.994087</v>
      </c>
      <c r="L201" s="14">
        <v>105.984131</v>
      </c>
      <c r="M201" s="14" t="s">
        <v>431</v>
      </c>
      <c r="N201" s="14" t="s">
        <v>87</v>
      </c>
      <c r="O201" s="45" t="s">
        <v>129</v>
      </c>
      <c r="R201" s="14" t="s">
        <v>49</v>
      </c>
      <c r="S201" s="14" t="s">
        <v>89</v>
      </c>
      <c r="T201" s="20" t="s">
        <v>90</v>
      </c>
      <c r="U201" s="21" t="s">
        <v>473</v>
      </c>
      <c r="AL201" s="21"/>
      <c r="AM201" s="21" t="s">
        <v>53</v>
      </c>
    </row>
    <row r="202">
      <c r="A202" s="21" t="s">
        <v>545</v>
      </c>
      <c r="B202" s="21" t="s">
        <v>552</v>
      </c>
      <c r="C202" s="23" t="s">
        <v>547</v>
      </c>
      <c r="D202" s="24" t="s">
        <v>548</v>
      </c>
      <c r="E202" s="18">
        <v>80.0</v>
      </c>
      <c r="F202" s="15" t="s">
        <v>334</v>
      </c>
      <c r="G202" s="14">
        <v>1978.0</v>
      </c>
      <c r="K202" s="14">
        <v>-5.994087</v>
      </c>
      <c r="L202" s="14">
        <v>105.984131</v>
      </c>
      <c r="M202" s="14" t="s">
        <v>431</v>
      </c>
      <c r="N202" s="14" t="s">
        <v>87</v>
      </c>
      <c r="O202" s="45" t="s">
        <v>129</v>
      </c>
      <c r="R202" s="14" t="s">
        <v>49</v>
      </c>
      <c r="S202" s="14" t="s">
        <v>89</v>
      </c>
      <c r="T202" s="20" t="s">
        <v>90</v>
      </c>
      <c r="U202" s="21" t="s">
        <v>473</v>
      </c>
      <c r="AL202" s="21"/>
      <c r="AM202" s="21" t="s">
        <v>53</v>
      </c>
    </row>
    <row r="203">
      <c r="A203" s="21" t="s">
        <v>553</v>
      </c>
      <c r="B203" s="21" t="s">
        <v>554</v>
      </c>
      <c r="C203" s="23" t="s">
        <v>555</v>
      </c>
      <c r="D203" s="24" t="s">
        <v>556</v>
      </c>
      <c r="E203" s="18">
        <v>80.0</v>
      </c>
      <c r="F203" s="15" t="s">
        <v>334</v>
      </c>
      <c r="G203" s="14">
        <v>2015.0</v>
      </c>
      <c r="K203" s="14">
        <v>-3.031835</v>
      </c>
      <c r="L203" s="14">
        <v>104.745957</v>
      </c>
      <c r="M203" s="14" t="s">
        <v>557</v>
      </c>
      <c r="N203" s="14" t="s">
        <v>358</v>
      </c>
      <c r="O203" s="21" t="s">
        <v>48</v>
      </c>
      <c r="R203" s="14" t="s">
        <v>62</v>
      </c>
      <c r="S203" s="14" t="s">
        <v>50</v>
      </c>
      <c r="T203" s="20" t="s">
        <v>51</v>
      </c>
      <c r="U203" s="21" t="s">
        <v>70</v>
      </c>
      <c r="AL203" s="21"/>
      <c r="AM203" s="21" t="s">
        <v>53</v>
      </c>
    </row>
    <row r="204">
      <c r="A204" s="21" t="s">
        <v>558</v>
      </c>
      <c r="B204" s="21" t="s">
        <v>559</v>
      </c>
      <c r="C204" s="23" t="s">
        <v>560</v>
      </c>
      <c r="D204" s="24" t="s">
        <v>561</v>
      </c>
      <c r="E204" s="18">
        <v>82.0</v>
      </c>
      <c r="F204" s="15" t="s">
        <v>334</v>
      </c>
      <c r="G204" s="14" t="s">
        <v>80</v>
      </c>
      <c r="K204" s="14">
        <v>-6.480331</v>
      </c>
      <c r="L204" s="14">
        <v>106.899002</v>
      </c>
      <c r="M204" s="14" t="s">
        <v>562</v>
      </c>
      <c r="N204" s="14" t="s">
        <v>448</v>
      </c>
      <c r="O204" s="21" t="s">
        <v>88</v>
      </c>
      <c r="P204" s="14" t="s">
        <v>309</v>
      </c>
      <c r="Q204" s="14" t="s">
        <v>563</v>
      </c>
      <c r="R204" s="14" t="s">
        <v>62</v>
      </c>
      <c r="S204" s="14" t="s">
        <v>564</v>
      </c>
      <c r="T204" s="20" t="s">
        <v>565</v>
      </c>
      <c r="U204" s="21" t="s">
        <v>144</v>
      </c>
      <c r="AL204" s="21"/>
      <c r="AM204" s="21" t="s">
        <v>53</v>
      </c>
    </row>
    <row r="205">
      <c r="A205" s="21" t="s">
        <v>566</v>
      </c>
      <c r="B205" s="21" t="s">
        <v>567</v>
      </c>
      <c r="C205" s="23" t="s">
        <v>568</v>
      </c>
      <c r="D205" s="24" t="s">
        <v>569</v>
      </c>
      <c r="E205" s="18">
        <v>82.0</v>
      </c>
      <c r="F205" s="15" t="s">
        <v>334</v>
      </c>
      <c r="G205" s="14">
        <v>2016.0</v>
      </c>
      <c r="K205" s="14">
        <v>1.014533</v>
      </c>
      <c r="L205" s="14">
        <v>104.007077</v>
      </c>
      <c r="M205" s="14" t="s">
        <v>570</v>
      </c>
      <c r="N205" s="14" t="s">
        <v>320</v>
      </c>
      <c r="O205" s="21" t="s">
        <v>129</v>
      </c>
      <c r="R205" s="14" t="s">
        <v>62</v>
      </c>
      <c r="S205" s="14" t="s">
        <v>571</v>
      </c>
      <c r="T205" s="20" t="s">
        <v>572</v>
      </c>
      <c r="U205" s="21" t="s">
        <v>70</v>
      </c>
      <c r="AL205" s="21"/>
      <c r="AM205" s="21" t="s">
        <v>53</v>
      </c>
    </row>
    <row r="206">
      <c r="A206" s="21" t="s">
        <v>566</v>
      </c>
      <c r="B206" s="21" t="s">
        <v>573</v>
      </c>
      <c r="C206" s="23" t="s">
        <v>568</v>
      </c>
      <c r="D206" s="24" t="s">
        <v>569</v>
      </c>
      <c r="E206" s="18">
        <v>82.1</v>
      </c>
      <c r="F206" s="15" t="s">
        <v>334</v>
      </c>
      <c r="G206" s="14">
        <v>2010.0</v>
      </c>
      <c r="K206" s="14">
        <v>1.014533</v>
      </c>
      <c r="L206" s="14">
        <v>104.007077</v>
      </c>
      <c r="M206" s="14" t="s">
        <v>570</v>
      </c>
      <c r="N206" s="14" t="s">
        <v>320</v>
      </c>
      <c r="O206" s="21" t="s">
        <v>129</v>
      </c>
      <c r="R206" s="14" t="s">
        <v>62</v>
      </c>
      <c r="S206" s="14" t="s">
        <v>574</v>
      </c>
      <c r="T206" s="20" t="s">
        <v>575</v>
      </c>
      <c r="U206" s="21" t="s">
        <v>70</v>
      </c>
      <c r="AL206" s="21"/>
      <c r="AM206" s="21" t="s">
        <v>53</v>
      </c>
    </row>
    <row r="207">
      <c r="D207" s="38" t="s">
        <v>576</v>
      </c>
      <c r="E207" s="19">
        <v>82.5</v>
      </c>
      <c r="F207" s="19" t="s">
        <v>334</v>
      </c>
      <c r="G207" s="37">
        <v>2010.0</v>
      </c>
      <c r="K207" s="21">
        <v>1.07064676515426</v>
      </c>
      <c r="L207" s="21">
        <v>101.281596567012</v>
      </c>
      <c r="M207" s="21" t="s">
        <v>374</v>
      </c>
      <c r="N207" s="21" t="s">
        <v>320</v>
      </c>
      <c r="O207" s="21"/>
      <c r="R207" s="21"/>
      <c r="S207" s="21"/>
      <c r="T207" s="20"/>
      <c r="U207" s="21"/>
      <c r="AO207" s="21" t="s">
        <v>53</v>
      </c>
    </row>
    <row r="208">
      <c r="D208" s="24" t="s">
        <v>577</v>
      </c>
      <c r="E208" s="19">
        <v>84.48</v>
      </c>
      <c r="F208" s="19" t="s">
        <v>334</v>
      </c>
      <c r="G208" s="21" t="s">
        <v>80</v>
      </c>
      <c r="N208" s="21" t="s">
        <v>345</v>
      </c>
      <c r="T208" s="20"/>
      <c r="AO208" s="21" t="s">
        <v>53</v>
      </c>
    </row>
    <row r="209">
      <c r="A209" s="21" t="s">
        <v>578</v>
      </c>
      <c r="B209" s="21" t="s">
        <v>579</v>
      </c>
      <c r="C209" s="23" t="s">
        <v>580</v>
      </c>
      <c r="D209" s="24" t="s">
        <v>581</v>
      </c>
      <c r="E209" s="18">
        <v>87.0</v>
      </c>
      <c r="F209" s="15" t="s">
        <v>334</v>
      </c>
      <c r="G209" s="14">
        <v>1998.0</v>
      </c>
      <c r="K209" s="14">
        <v>-4.514215</v>
      </c>
      <c r="L209" s="14">
        <v>105.697475</v>
      </c>
      <c r="M209" s="14" t="s">
        <v>582</v>
      </c>
      <c r="N209" s="14" t="s">
        <v>358</v>
      </c>
      <c r="O209" s="21" t="s">
        <v>88</v>
      </c>
      <c r="R209" s="14" t="s">
        <v>487</v>
      </c>
      <c r="S209" s="14" t="s">
        <v>583</v>
      </c>
      <c r="T209" s="20" t="s">
        <v>584</v>
      </c>
      <c r="U209" s="21" t="s">
        <v>480</v>
      </c>
      <c r="AL209" s="21"/>
      <c r="AM209" s="21" t="s">
        <v>53</v>
      </c>
    </row>
    <row r="210">
      <c r="A210" s="21" t="s">
        <v>585</v>
      </c>
      <c r="B210" s="21" t="s">
        <v>586</v>
      </c>
      <c r="C210" s="23" t="s">
        <v>587</v>
      </c>
      <c r="D210" s="24" t="s">
        <v>588</v>
      </c>
      <c r="E210" s="18">
        <v>100.0</v>
      </c>
      <c r="F210" s="15" t="s">
        <v>334</v>
      </c>
      <c r="G210" s="14">
        <v>2000.0</v>
      </c>
      <c r="K210" s="14">
        <v>1.372163</v>
      </c>
      <c r="L210" s="14">
        <v>101.225118</v>
      </c>
      <c r="M210" s="14" t="s">
        <v>589</v>
      </c>
      <c r="N210" s="14" t="s">
        <v>320</v>
      </c>
      <c r="O210" s="45" t="s">
        <v>48</v>
      </c>
      <c r="P210" s="14" t="s">
        <v>309</v>
      </c>
      <c r="Q210" s="14" t="s">
        <v>310</v>
      </c>
      <c r="R210" s="14" t="s">
        <v>62</v>
      </c>
      <c r="S210" s="14" t="s">
        <v>50</v>
      </c>
      <c r="T210" s="20" t="s">
        <v>51</v>
      </c>
      <c r="U210" s="21" t="s">
        <v>144</v>
      </c>
      <c r="AL210" s="21"/>
      <c r="AM210" s="21" t="s">
        <v>53</v>
      </c>
    </row>
    <row r="211">
      <c r="A211" s="21" t="s">
        <v>585</v>
      </c>
      <c r="B211" s="21" t="s">
        <v>590</v>
      </c>
      <c r="C211" s="23" t="s">
        <v>587</v>
      </c>
      <c r="D211" s="24" t="s">
        <v>588</v>
      </c>
      <c r="E211" s="18">
        <v>100.0</v>
      </c>
      <c r="F211" s="15" t="s">
        <v>334</v>
      </c>
      <c r="G211" s="14">
        <v>2000.0</v>
      </c>
      <c r="K211" s="14">
        <v>1.372163</v>
      </c>
      <c r="L211" s="14">
        <v>101.225118</v>
      </c>
      <c r="M211" s="14" t="s">
        <v>589</v>
      </c>
      <c r="N211" s="14" t="s">
        <v>320</v>
      </c>
      <c r="O211" s="45" t="s">
        <v>48</v>
      </c>
      <c r="P211" s="14" t="s">
        <v>309</v>
      </c>
      <c r="Q211" s="14" t="s">
        <v>310</v>
      </c>
      <c r="R211" s="14" t="s">
        <v>62</v>
      </c>
      <c r="S211" s="14" t="s">
        <v>50</v>
      </c>
      <c r="T211" s="20" t="s">
        <v>51</v>
      </c>
      <c r="U211" s="21" t="s">
        <v>144</v>
      </c>
      <c r="AL211" s="21"/>
      <c r="AM211" s="21" t="s">
        <v>53</v>
      </c>
    </row>
    <row r="212">
      <c r="A212" s="21" t="s">
        <v>585</v>
      </c>
      <c r="B212" s="21" t="s">
        <v>591</v>
      </c>
      <c r="C212" s="23" t="s">
        <v>587</v>
      </c>
      <c r="D212" s="24" t="s">
        <v>588</v>
      </c>
      <c r="E212" s="18">
        <v>100.0</v>
      </c>
      <c r="F212" s="15" t="s">
        <v>334</v>
      </c>
      <c r="G212" s="14">
        <v>2000.0</v>
      </c>
      <c r="K212" s="14">
        <v>1.372163</v>
      </c>
      <c r="L212" s="14">
        <v>101.225118</v>
      </c>
      <c r="M212" s="14" t="s">
        <v>589</v>
      </c>
      <c r="N212" s="14" t="s">
        <v>320</v>
      </c>
      <c r="O212" s="45" t="s">
        <v>48</v>
      </c>
      <c r="P212" s="14" t="s">
        <v>309</v>
      </c>
      <c r="Q212" s="14" t="s">
        <v>310</v>
      </c>
      <c r="R212" s="14" t="s">
        <v>62</v>
      </c>
      <c r="S212" s="14" t="s">
        <v>50</v>
      </c>
      <c r="T212" s="20" t="s">
        <v>51</v>
      </c>
      <c r="U212" s="21" t="s">
        <v>144</v>
      </c>
      <c r="AL212" s="21"/>
      <c r="AM212" s="21" t="s">
        <v>53</v>
      </c>
    </row>
    <row r="213">
      <c r="A213" s="21" t="s">
        <v>592</v>
      </c>
      <c r="B213" s="21" t="s">
        <v>593</v>
      </c>
      <c r="C213" s="23" t="s">
        <v>594</v>
      </c>
      <c r="D213" s="24" t="s">
        <v>595</v>
      </c>
      <c r="E213" s="18">
        <v>100.0</v>
      </c>
      <c r="F213" s="15" t="s">
        <v>334</v>
      </c>
      <c r="G213" s="14" t="s">
        <v>80</v>
      </c>
      <c r="K213" s="14">
        <v>-2.92344</v>
      </c>
      <c r="L213" s="14">
        <v>104.87107</v>
      </c>
      <c r="M213" s="14" t="s">
        <v>596</v>
      </c>
      <c r="N213" s="14" t="s">
        <v>358</v>
      </c>
      <c r="O213" s="21" t="s">
        <v>48</v>
      </c>
      <c r="R213" s="14" t="s">
        <v>62</v>
      </c>
      <c r="S213" s="14" t="s">
        <v>50</v>
      </c>
      <c r="T213" s="20" t="s">
        <v>51</v>
      </c>
      <c r="U213" s="21" t="s">
        <v>70</v>
      </c>
      <c r="AL213" s="21"/>
      <c r="AM213" s="21" t="s">
        <v>53</v>
      </c>
    </row>
    <row r="214">
      <c r="A214" s="21" t="s">
        <v>597</v>
      </c>
      <c r="B214" s="21" t="s">
        <v>598</v>
      </c>
      <c r="C214" s="23" t="s">
        <v>599</v>
      </c>
      <c r="D214" s="24" t="s">
        <v>600</v>
      </c>
      <c r="E214" s="18">
        <v>100.0</v>
      </c>
      <c r="F214" s="15" t="s">
        <v>334</v>
      </c>
      <c r="G214" s="14">
        <v>2016.0</v>
      </c>
      <c r="K214" s="14">
        <v>0.466894</v>
      </c>
      <c r="L214" s="14">
        <v>122.006257</v>
      </c>
      <c r="M214" s="14" t="s">
        <v>601</v>
      </c>
      <c r="N214" s="14" t="s">
        <v>602</v>
      </c>
      <c r="O214" s="21" t="s">
        <v>48</v>
      </c>
      <c r="R214" s="14" t="s">
        <v>62</v>
      </c>
      <c r="S214" s="14" t="s">
        <v>50</v>
      </c>
      <c r="T214" s="20" t="s">
        <v>51</v>
      </c>
      <c r="U214" s="21" t="s">
        <v>144</v>
      </c>
      <c r="AL214" s="21"/>
      <c r="AM214" s="21" t="s">
        <v>53</v>
      </c>
    </row>
    <row r="215">
      <c r="A215" s="21" t="s">
        <v>603</v>
      </c>
      <c r="B215" s="21" t="s">
        <v>604</v>
      </c>
      <c r="C215" s="23" t="s">
        <v>605</v>
      </c>
      <c r="D215" s="24" t="s">
        <v>606</v>
      </c>
      <c r="E215" s="18">
        <v>100.0</v>
      </c>
      <c r="F215" s="15" t="s">
        <v>334</v>
      </c>
      <c r="G215" s="14">
        <v>1980.0</v>
      </c>
      <c r="K215" s="14">
        <v>-7.1633</v>
      </c>
      <c r="L215" s="14">
        <v>112.6615</v>
      </c>
      <c r="M215" s="14" t="s">
        <v>607</v>
      </c>
      <c r="N215" s="14" t="s">
        <v>103</v>
      </c>
      <c r="O215" s="21" t="s">
        <v>48</v>
      </c>
      <c r="R215" s="14" t="s">
        <v>49</v>
      </c>
      <c r="S215" s="14" t="s">
        <v>97</v>
      </c>
      <c r="T215" s="20" t="s">
        <v>51</v>
      </c>
      <c r="U215" s="21" t="s">
        <v>473</v>
      </c>
      <c r="AL215" s="21"/>
      <c r="AM215" s="21" t="s">
        <v>53</v>
      </c>
    </row>
    <row r="216">
      <c r="A216" s="21" t="s">
        <v>603</v>
      </c>
      <c r="B216" s="21" t="s">
        <v>608</v>
      </c>
      <c r="C216" s="23" t="s">
        <v>605</v>
      </c>
      <c r="D216" s="24" t="s">
        <v>606</v>
      </c>
      <c r="E216" s="18">
        <v>100.0</v>
      </c>
      <c r="F216" s="15" t="s">
        <v>334</v>
      </c>
      <c r="G216" s="14">
        <v>1981.0</v>
      </c>
      <c r="K216" s="14">
        <v>-7.1633</v>
      </c>
      <c r="L216" s="14">
        <v>112.6615</v>
      </c>
      <c r="M216" s="14" t="s">
        <v>607</v>
      </c>
      <c r="N216" s="14" t="s">
        <v>103</v>
      </c>
      <c r="O216" s="21" t="s">
        <v>48</v>
      </c>
      <c r="R216" s="14" t="s">
        <v>49</v>
      </c>
      <c r="S216" s="14" t="s">
        <v>97</v>
      </c>
      <c r="T216" s="20" t="s">
        <v>51</v>
      </c>
      <c r="U216" s="21" t="s">
        <v>473</v>
      </c>
      <c r="AL216" s="21"/>
      <c r="AM216" s="21" t="s">
        <v>53</v>
      </c>
    </row>
    <row r="217">
      <c r="A217" s="15"/>
      <c r="B217" s="15"/>
      <c r="C217" s="15"/>
      <c r="D217" s="27" t="s">
        <v>609</v>
      </c>
      <c r="E217" s="28">
        <v>100.0</v>
      </c>
      <c r="F217" s="30" t="s">
        <v>334</v>
      </c>
      <c r="G217" s="40">
        <v>2016.0</v>
      </c>
      <c r="H217" s="15"/>
      <c r="I217" s="15"/>
      <c r="J217" s="15"/>
      <c r="K217" s="28">
        <v>-5.51826403309975</v>
      </c>
      <c r="L217" s="28">
        <v>105.345917238222</v>
      </c>
      <c r="M217" s="30" t="s">
        <v>391</v>
      </c>
      <c r="N217" s="30" t="s">
        <v>388</v>
      </c>
      <c r="O217" s="30"/>
      <c r="P217" s="15"/>
      <c r="Q217" s="15"/>
      <c r="R217" s="30"/>
      <c r="S217" s="30"/>
      <c r="T217" s="15"/>
      <c r="U217" s="30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21" t="s">
        <v>53</v>
      </c>
      <c r="AP217" s="21"/>
      <c r="AQ217" s="21"/>
      <c r="AR217" s="21"/>
      <c r="AS217" s="21"/>
      <c r="AT217" s="21"/>
    </row>
    <row r="218">
      <c r="A218" s="21" t="s">
        <v>610</v>
      </c>
      <c r="B218" s="21" t="s">
        <v>611</v>
      </c>
      <c r="C218" s="23" t="s">
        <v>612</v>
      </c>
      <c r="D218" s="24" t="s">
        <v>613</v>
      </c>
      <c r="E218" s="18">
        <v>109.0</v>
      </c>
      <c r="F218" s="15" t="s">
        <v>334</v>
      </c>
      <c r="G218" s="14">
        <v>2015.0</v>
      </c>
      <c r="K218" s="14">
        <v>-6.290774</v>
      </c>
      <c r="L218" s="14">
        <v>107.120446</v>
      </c>
      <c r="M218" s="14" t="s">
        <v>614</v>
      </c>
      <c r="N218" s="14" t="s">
        <v>448</v>
      </c>
      <c r="O218" s="45" t="s">
        <v>129</v>
      </c>
      <c r="R218" s="14" t="s">
        <v>62</v>
      </c>
      <c r="S218" s="14" t="s">
        <v>615</v>
      </c>
      <c r="T218" s="20" t="s">
        <v>616</v>
      </c>
      <c r="U218" s="21" t="s">
        <v>144</v>
      </c>
      <c r="AL218" s="21"/>
      <c r="AM218" s="21" t="s">
        <v>53</v>
      </c>
    </row>
    <row r="219">
      <c r="A219" s="21" t="s">
        <v>617</v>
      </c>
      <c r="B219" s="21" t="s">
        <v>618</v>
      </c>
      <c r="C219" s="23" t="s">
        <v>619</v>
      </c>
      <c r="D219" s="24" t="s">
        <v>620</v>
      </c>
      <c r="E219" s="18">
        <v>110.0</v>
      </c>
      <c r="F219" s="15" t="s">
        <v>334</v>
      </c>
      <c r="G219" s="14">
        <v>2014.0</v>
      </c>
      <c r="K219" s="14">
        <v>-3.50702</v>
      </c>
      <c r="L219" s="14">
        <v>103.800147</v>
      </c>
      <c r="M219" s="14" t="s">
        <v>621</v>
      </c>
      <c r="N219" s="14" t="s">
        <v>358</v>
      </c>
      <c r="O219" s="21" t="s">
        <v>129</v>
      </c>
      <c r="R219" s="14" t="s">
        <v>62</v>
      </c>
      <c r="S219" s="14" t="s">
        <v>622</v>
      </c>
      <c r="T219" s="20" t="s">
        <v>623</v>
      </c>
      <c r="U219" s="21" t="s">
        <v>70</v>
      </c>
      <c r="AA219" s="21"/>
      <c r="AB219" s="21">
        <v>168.0</v>
      </c>
      <c r="AF219" s="21">
        <v>15.3</v>
      </c>
      <c r="AG219" s="21" t="s">
        <v>624</v>
      </c>
      <c r="AJ219" s="21">
        <v>160.0</v>
      </c>
      <c r="AK219" s="21">
        <v>3.82</v>
      </c>
      <c r="AL219" s="21"/>
      <c r="AM219" s="21" t="s">
        <v>53</v>
      </c>
      <c r="AN219" s="21"/>
      <c r="AO219" s="21"/>
    </row>
    <row r="220">
      <c r="A220" s="21" t="s">
        <v>625</v>
      </c>
      <c r="B220" s="21" t="s">
        <v>626</v>
      </c>
      <c r="C220" s="23" t="s">
        <v>627</v>
      </c>
      <c r="D220" s="24" t="s">
        <v>628</v>
      </c>
      <c r="E220" s="18">
        <v>110.0</v>
      </c>
      <c r="F220" s="15" t="s">
        <v>334</v>
      </c>
      <c r="G220" s="14" t="s">
        <v>80</v>
      </c>
      <c r="K220" s="14">
        <v>-1.673906</v>
      </c>
      <c r="L220" s="14">
        <v>103.678081</v>
      </c>
      <c r="M220" s="14" t="s">
        <v>629</v>
      </c>
      <c r="N220" s="14" t="s">
        <v>457</v>
      </c>
      <c r="O220" s="21" t="s">
        <v>48</v>
      </c>
      <c r="R220" s="14" t="s">
        <v>62</v>
      </c>
      <c r="S220" s="14" t="s">
        <v>50</v>
      </c>
      <c r="T220" s="20" t="s">
        <v>51</v>
      </c>
      <c r="U220" s="21" t="s">
        <v>480</v>
      </c>
      <c r="AL220" s="21"/>
      <c r="AM220" s="21" t="s">
        <v>53</v>
      </c>
    </row>
    <row r="221">
      <c r="A221" s="21" t="s">
        <v>630</v>
      </c>
      <c r="B221" s="21" t="s">
        <v>631</v>
      </c>
      <c r="C221" s="23" t="s">
        <v>632</v>
      </c>
      <c r="D221" s="24" t="s">
        <v>633</v>
      </c>
      <c r="E221" s="18">
        <v>112.0</v>
      </c>
      <c r="F221" s="15" t="s">
        <v>334</v>
      </c>
      <c r="G221" s="14">
        <v>2012.0</v>
      </c>
      <c r="K221" s="14">
        <v>1.071237</v>
      </c>
      <c r="L221" s="14">
        <v>101.281543</v>
      </c>
      <c r="M221" s="14" t="s">
        <v>634</v>
      </c>
      <c r="N221" s="14" t="s">
        <v>320</v>
      </c>
      <c r="O221" s="21" t="s">
        <v>48</v>
      </c>
      <c r="R221" s="14" t="s">
        <v>62</v>
      </c>
      <c r="S221" s="14" t="s">
        <v>50</v>
      </c>
      <c r="T221" s="20" t="s">
        <v>51</v>
      </c>
      <c r="U221" s="21" t="s">
        <v>480</v>
      </c>
      <c r="AL221" s="21"/>
      <c r="AM221" s="21" t="s">
        <v>53</v>
      </c>
    </row>
    <row r="222">
      <c r="A222" s="21" t="s">
        <v>635</v>
      </c>
      <c r="B222" s="21" t="s">
        <v>636</v>
      </c>
      <c r="C222" s="23" t="s">
        <v>637</v>
      </c>
      <c r="D222" s="24" t="s">
        <v>638</v>
      </c>
      <c r="E222" s="18">
        <v>114.0</v>
      </c>
      <c r="F222" s="15" t="s">
        <v>334</v>
      </c>
      <c r="G222" s="14">
        <v>2006.0</v>
      </c>
      <c r="K222" s="14">
        <v>1.068868</v>
      </c>
      <c r="L222" s="14">
        <v>104.025193</v>
      </c>
      <c r="M222" s="14" t="s">
        <v>639</v>
      </c>
      <c r="N222" s="14" t="s">
        <v>320</v>
      </c>
      <c r="O222" s="21" t="s">
        <v>88</v>
      </c>
      <c r="R222" s="14" t="s">
        <v>49</v>
      </c>
      <c r="S222" s="14" t="s">
        <v>640</v>
      </c>
      <c r="T222" s="20" t="s">
        <v>641</v>
      </c>
      <c r="U222" s="21" t="s">
        <v>480</v>
      </c>
      <c r="AL222" s="21"/>
      <c r="AM222" s="21" t="s">
        <v>53</v>
      </c>
    </row>
    <row r="223">
      <c r="A223" s="21" t="s">
        <v>642</v>
      </c>
      <c r="B223" s="21" t="s">
        <v>643</v>
      </c>
      <c r="C223" s="23" t="s">
        <v>644</v>
      </c>
      <c r="D223" s="24" t="s">
        <v>645</v>
      </c>
      <c r="E223" s="18">
        <v>117.0</v>
      </c>
      <c r="F223" s="15" t="s">
        <v>334</v>
      </c>
      <c r="G223" s="14">
        <v>2020.0</v>
      </c>
      <c r="K223" s="14">
        <v>-0.987643</v>
      </c>
      <c r="L223" s="14">
        <v>117.135578</v>
      </c>
      <c r="M223" s="14" t="s">
        <v>646</v>
      </c>
      <c r="N223" s="14" t="s">
        <v>308</v>
      </c>
      <c r="O223" s="21" t="s">
        <v>48</v>
      </c>
      <c r="R223" s="14" t="s">
        <v>49</v>
      </c>
      <c r="S223" s="14" t="s">
        <v>647</v>
      </c>
      <c r="T223" s="20" t="s">
        <v>648</v>
      </c>
      <c r="U223" s="21" t="s">
        <v>70</v>
      </c>
      <c r="AL223" s="21"/>
      <c r="AM223" s="21" t="s">
        <v>53</v>
      </c>
    </row>
    <row r="224">
      <c r="A224" s="21" t="s">
        <v>82</v>
      </c>
      <c r="B224" s="21" t="s">
        <v>649</v>
      </c>
      <c r="C224" s="23" t="s">
        <v>84</v>
      </c>
      <c r="D224" s="24" t="s">
        <v>85</v>
      </c>
      <c r="E224" s="18">
        <v>120.0</v>
      </c>
      <c r="F224" s="15" t="s">
        <v>334</v>
      </c>
      <c r="G224" s="14">
        <v>2015.0</v>
      </c>
      <c r="K224" s="14">
        <v>-5.9924</v>
      </c>
      <c r="L224" s="14">
        <v>105.9849</v>
      </c>
      <c r="M224" s="14" t="s">
        <v>86</v>
      </c>
      <c r="N224" s="14" t="s">
        <v>87</v>
      </c>
      <c r="O224" s="45" t="s">
        <v>129</v>
      </c>
      <c r="R224" s="14" t="s">
        <v>62</v>
      </c>
      <c r="S224" s="14" t="s">
        <v>89</v>
      </c>
      <c r="T224" s="20" t="s">
        <v>90</v>
      </c>
      <c r="U224" s="21" t="s">
        <v>70</v>
      </c>
      <c r="AL224" s="21"/>
      <c r="AM224" s="21" t="s">
        <v>53</v>
      </c>
    </row>
    <row r="225">
      <c r="A225" s="21" t="s">
        <v>545</v>
      </c>
      <c r="B225" s="21" t="s">
        <v>650</v>
      </c>
      <c r="C225" s="23" t="s">
        <v>547</v>
      </c>
      <c r="D225" s="24" t="s">
        <v>548</v>
      </c>
      <c r="E225" s="18">
        <v>120.0</v>
      </c>
      <c r="F225" s="15" t="s">
        <v>334</v>
      </c>
      <c r="G225" s="14">
        <v>2015.0</v>
      </c>
      <c r="K225" s="14">
        <v>-5.994087</v>
      </c>
      <c r="L225" s="14">
        <v>105.984131</v>
      </c>
      <c r="M225" s="14" t="s">
        <v>431</v>
      </c>
      <c r="N225" s="14" t="s">
        <v>87</v>
      </c>
      <c r="O225" s="45" t="s">
        <v>129</v>
      </c>
      <c r="R225" s="14" t="s">
        <v>62</v>
      </c>
      <c r="S225" s="14" t="s">
        <v>89</v>
      </c>
      <c r="T225" s="20" t="s">
        <v>90</v>
      </c>
      <c r="U225" s="21" t="s">
        <v>70</v>
      </c>
      <c r="AL225" s="21"/>
      <c r="AM225" s="21" t="s">
        <v>53</v>
      </c>
    </row>
    <row r="226">
      <c r="A226" s="21" t="s">
        <v>651</v>
      </c>
      <c r="B226" s="21" t="s">
        <v>652</v>
      </c>
      <c r="C226" s="23" t="s">
        <v>653</v>
      </c>
      <c r="D226" s="24" t="s">
        <v>654</v>
      </c>
      <c r="E226" s="18">
        <v>120.0</v>
      </c>
      <c r="F226" s="15" t="s">
        <v>334</v>
      </c>
      <c r="G226" s="14">
        <v>2019.0</v>
      </c>
      <c r="K226" s="14">
        <v>1.090272</v>
      </c>
      <c r="L226" s="14">
        <v>103.901482</v>
      </c>
      <c r="M226" s="14" t="s">
        <v>335</v>
      </c>
      <c r="N226" s="14" t="s">
        <v>336</v>
      </c>
      <c r="O226" s="21" t="s">
        <v>48</v>
      </c>
      <c r="R226" s="14" t="s">
        <v>62</v>
      </c>
      <c r="S226" s="14" t="s">
        <v>655</v>
      </c>
      <c r="T226" s="20" t="s">
        <v>51</v>
      </c>
      <c r="U226" s="21" t="s">
        <v>70</v>
      </c>
      <c r="AL226" s="21"/>
      <c r="AM226" s="21" t="s">
        <v>53</v>
      </c>
    </row>
    <row r="227">
      <c r="A227" s="21" t="s">
        <v>656</v>
      </c>
      <c r="B227" s="21" t="s">
        <v>657</v>
      </c>
      <c r="C227" s="23" t="s">
        <v>658</v>
      </c>
      <c r="D227" s="24" t="s">
        <v>659</v>
      </c>
      <c r="E227" s="18">
        <v>124.0</v>
      </c>
      <c r="F227" s="15" t="s">
        <v>334</v>
      </c>
      <c r="G227" s="14">
        <v>2008.0</v>
      </c>
      <c r="K227" s="14">
        <v>-3.206744</v>
      </c>
      <c r="L227" s="14">
        <v>104.656385</v>
      </c>
      <c r="M227" s="14" t="s">
        <v>660</v>
      </c>
      <c r="N227" s="14" t="s">
        <v>358</v>
      </c>
      <c r="O227" s="21" t="s">
        <v>48</v>
      </c>
      <c r="R227" s="14" t="s">
        <v>62</v>
      </c>
      <c r="S227" s="14" t="s">
        <v>50</v>
      </c>
      <c r="T227" s="20" t="s">
        <v>51</v>
      </c>
      <c r="U227" s="21" t="s">
        <v>70</v>
      </c>
      <c r="AL227" s="21"/>
      <c r="AM227" s="21" t="s">
        <v>53</v>
      </c>
    </row>
    <row r="228">
      <c r="A228" s="21" t="s">
        <v>661</v>
      </c>
      <c r="B228" s="21" t="s">
        <v>662</v>
      </c>
      <c r="C228" s="23" t="s">
        <v>663</v>
      </c>
      <c r="D228" s="24" t="s">
        <v>664</v>
      </c>
      <c r="E228" s="18">
        <v>125.0</v>
      </c>
      <c r="F228" s="15" t="s">
        <v>334</v>
      </c>
      <c r="G228" s="14">
        <v>2016.0</v>
      </c>
      <c r="K228" s="14">
        <v>1.187715</v>
      </c>
      <c r="L228" s="14">
        <v>124.478541</v>
      </c>
      <c r="M228" s="14" t="s">
        <v>665</v>
      </c>
      <c r="N228" s="14" t="s">
        <v>666</v>
      </c>
      <c r="O228" s="45" t="s">
        <v>129</v>
      </c>
      <c r="R228" s="14" t="s">
        <v>328</v>
      </c>
      <c r="S228" s="14" t="s">
        <v>667</v>
      </c>
      <c r="T228" s="20" t="s">
        <v>668</v>
      </c>
      <c r="U228" s="21" t="s">
        <v>669</v>
      </c>
      <c r="AL228" s="21"/>
      <c r="AM228" s="21" t="s">
        <v>53</v>
      </c>
    </row>
    <row r="229">
      <c r="A229" s="21" t="s">
        <v>670</v>
      </c>
      <c r="B229" s="21" t="s">
        <v>671</v>
      </c>
      <c r="C229" s="23" t="s">
        <v>672</v>
      </c>
      <c r="D229" s="24" t="s">
        <v>673</v>
      </c>
      <c r="E229" s="18">
        <v>128.0</v>
      </c>
      <c r="F229" s="15" t="s">
        <v>334</v>
      </c>
      <c r="G229" s="14">
        <v>2022.0</v>
      </c>
      <c r="K229" s="14">
        <v>-4.146757</v>
      </c>
      <c r="L229" s="14">
        <v>137.092796</v>
      </c>
      <c r="M229" s="14" t="s">
        <v>674</v>
      </c>
      <c r="O229" s="21" t="s">
        <v>88</v>
      </c>
      <c r="P229" s="14" t="s">
        <v>309</v>
      </c>
      <c r="Q229" s="14" t="s">
        <v>327</v>
      </c>
      <c r="R229" s="14" t="s">
        <v>49</v>
      </c>
      <c r="S229" s="14" t="s">
        <v>675</v>
      </c>
      <c r="T229" s="20" t="s">
        <v>676</v>
      </c>
      <c r="U229" s="21" t="s">
        <v>480</v>
      </c>
      <c r="AL229" s="21"/>
      <c r="AM229" s="21" t="s">
        <v>53</v>
      </c>
    </row>
    <row r="230">
      <c r="A230" s="21" t="s">
        <v>677</v>
      </c>
      <c r="B230" s="21" t="s">
        <v>678</v>
      </c>
      <c r="C230" s="23" t="s">
        <v>679</v>
      </c>
      <c r="D230" s="24" t="s">
        <v>680</v>
      </c>
      <c r="E230" s="18">
        <v>130.0</v>
      </c>
      <c r="F230" s="15" t="s">
        <v>334</v>
      </c>
      <c r="G230" s="14">
        <v>2013.0</v>
      </c>
      <c r="K230" s="14">
        <v>-6.269558</v>
      </c>
      <c r="L230" s="14">
        <v>107.159678</v>
      </c>
      <c r="M230" s="14" t="s">
        <v>681</v>
      </c>
      <c r="N230" s="14" t="s">
        <v>448</v>
      </c>
      <c r="O230" s="21" t="s">
        <v>129</v>
      </c>
      <c r="R230" s="14" t="s">
        <v>62</v>
      </c>
      <c r="S230" s="14" t="s">
        <v>682</v>
      </c>
      <c r="T230" s="20" t="s">
        <v>683</v>
      </c>
      <c r="U230" s="21" t="s">
        <v>70</v>
      </c>
      <c r="AL230" s="21"/>
      <c r="AM230" s="21" t="s">
        <v>53</v>
      </c>
    </row>
    <row r="231">
      <c r="A231" s="21" t="s">
        <v>684</v>
      </c>
      <c r="B231" s="21" t="s">
        <v>685</v>
      </c>
      <c r="C231" s="23" t="s">
        <v>686</v>
      </c>
      <c r="D231" s="24" t="s">
        <v>687</v>
      </c>
      <c r="E231" s="18">
        <v>134.0</v>
      </c>
      <c r="F231" s="15" t="s">
        <v>334</v>
      </c>
      <c r="G231" s="14">
        <v>1997.0</v>
      </c>
      <c r="K231" s="14">
        <v>-8.175555</v>
      </c>
      <c r="L231" s="14">
        <v>114.442718</v>
      </c>
      <c r="M231" s="14" t="s">
        <v>688</v>
      </c>
      <c r="N231" s="14" t="s">
        <v>229</v>
      </c>
      <c r="O231" s="21" t="s">
        <v>48</v>
      </c>
      <c r="R231" s="14" t="s">
        <v>62</v>
      </c>
      <c r="S231" s="14" t="s">
        <v>472</v>
      </c>
      <c r="T231" s="20" t="s">
        <v>51</v>
      </c>
      <c r="U231" s="21" t="s">
        <v>144</v>
      </c>
      <c r="AL231" s="21"/>
      <c r="AM231" s="21" t="s">
        <v>53</v>
      </c>
    </row>
    <row r="232">
      <c r="A232" s="21" t="s">
        <v>689</v>
      </c>
      <c r="B232" s="21" t="s">
        <v>690</v>
      </c>
      <c r="C232" s="23" t="s">
        <v>691</v>
      </c>
      <c r="D232" s="24" t="s">
        <v>692</v>
      </c>
      <c r="E232" s="18">
        <v>135.0</v>
      </c>
      <c r="F232" s="15" t="s">
        <v>334</v>
      </c>
      <c r="G232" s="14">
        <v>1997.0</v>
      </c>
      <c r="K232" s="14">
        <v>-4.175947</v>
      </c>
      <c r="L232" s="14">
        <v>120.072159</v>
      </c>
      <c r="M232" s="14" t="s">
        <v>693</v>
      </c>
      <c r="N232" s="14" t="s">
        <v>694</v>
      </c>
      <c r="O232" s="45" t="s">
        <v>129</v>
      </c>
      <c r="R232" s="14" t="s">
        <v>62</v>
      </c>
      <c r="S232" s="14" t="s">
        <v>695</v>
      </c>
      <c r="T232" s="20" t="s">
        <v>696</v>
      </c>
      <c r="U232" s="21" t="s">
        <v>70</v>
      </c>
      <c r="AL232" s="21"/>
      <c r="AM232" s="21" t="s">
        <v>53</v>
      </c>
    </row>
    <row r="233">
      <c r="A233" s="21" t="s">
        <v>697</v>
      </c>
      <c r="B233" s="21" t="s">
        <v>698</v>
      </c>
      <c r="C233" s="23" t="s">
        <v>699</v>
      </c>
      <c r="D233" s="24" t="s">
        <v>700</v>
      </c>
      <c r="E233" s="18">
        <v>135.0</v>
      </c>
      <c r="F233" s="15" t="s">
        <v>334</v>
      </c>
      <c r="G233" s="14">
        <v>2020.0</v>
      </c>
      <c r="K233" s="14">
        <v>-8.58958</v>
      </c>
      <c r="L233" s="14">
        <v>116.074409</v>
      </c>
      <c r="M233" s="14" t="s">
        <v>701</v>
      </c>
      <c r="N233" s="14" t="s">
        <v>326</v>
      </c>
      <c r="O233" s="21" t="s">
        <v>48</v>
      </c>
      <c r="R233" s="14" t="s">
        <v>49</v>
      </c>
      <c r="S233" s="14" t="s">
        <v>50</v>
      </c>
      <c r="T233" s="20" t="s">
        <v>51</v>
      </c>
      <c r="U233" s="21" t="s">
        <v>669</v>
      </c>
      <c r="AL233" s="21"/>
      <c r="AM233" s="21" t="s">
        <v>53</v>
      </c>
    </row>
    <row r="234">
      <c r="A234" s="21" t="s">
        <v>702</v>
      </c>
      <c r="B234" s="21" t="s">
        <v>703</v>
      </c>
      <c r="C234" s="23" t="s">
        <v>704</v>
      </c>
      <c r="D234" s="24" t="s">
        <v>705</v>
      </c>
      <c r="E234" s="18">
        <v>140.0</v>
      </c>
      <c r="F234" s="15" t="s">
        <v>334</v>
      </c>
      <c r="G234" s="14">
        <v>2022.0</v>
      </c>
      <c r="K234" s="14">
        <v>-0.62081</v>
      </c>
      <c r="L234" s="14">
        <v>115.114001</v>
      </c>
      <c r="M234" s="14" t="s">
        <v>706</v>
      </c>
      <c r="N234" s="14" t="s">
        <v>707</v>
      </c>
      <c r="O234" s="21" t="s">
        <v>48</v>
      </c>
      <c r="R234" s="14" t="s">
        <v>62</v>
      </c>
      <c r="S234" s="14" t="s">
        <v>50</v>
      </c>
      <c r="T234" s="20" t="s">
        <v>51</v>
      </c>
      <c r="U234" s="21" t="s">
        <v>480</v>
      </c>
      <c r="AL234" s="21"/>
      <c r="AM234" s="21" t="s">
        <v>53</v>
      </c>
    </row>
    <row r="235">
      <c r="A235" s="21" t="s">
        <v>708</v>
      </c>
      <c r="B235" s="21" t="s">
        <v>709</v>
      </c>
      <c r="C235" s="23" t="s">
        <v>710</v>
      </c>
      <c r="D235" s="24" t="s">
        <v>711</v>
      </c>
      <c r="E235" s="18">
        <v>140.0</v>
      </c>
      <c r="F235" s="15" t="s">
        <v>334</v>
      </c>
      <c r="G235" s="14">
        <v>2005.0</v>
      </c>
      <c r="K235" s="14">
        <v>-6.0867</v>
      </c>
      <c r="L235" s="14">
        <v>106.9987</v>
      </c>
      <c r="M235" s="14" t="s">
        <v>299</v>
      </c>
      <c r="N235" s="14" t="s">
        <v>448</v>
      </c>
      <c r="O235" s="21" t="s">
        <v>48</v>
      </c>
      <c r="R235" s="14" t="s">
        <v>62</v>
      </c>
      <c r="S235" s="14" t="s">
        <v>97</v>
      </c>
      <c r="T235" s="20" t="s">
        <v>51</v>
      </c>
      <c r="U235" s="21" t="s">
        <v>144</v>
      </c>
      <c r="AL235" s="21"/>
      <c r="AM235" s="21" t="s">
        <v>53</v>
      </c>
    </row>
    <row r="236">
      <c r="A236" s="21" t="s">
        <v>708</v>
      </c>
      <c r="B236" s="21" t="s">
        <v>712</v>
      </c>
      <c r="C236" s="23" t="s">
        <v>710</v>
      </c>
      <c r="D236" s="24" t="s">
        <v>711</v>
      </c>
      <c r="E236" s="18">
        <v>140.0</v>
      </c>
      <c r="F236" s="15" t="s">
        <v>334</v>
      </c>
      <c r="G236" s="14">
        <v>2005.0</v>
      </c>
      <c r="K236" s="14">
        <v>-6.0867</v>
      </c>
      <c r="L236" s="14">
        <v>106.9987</v>
      </c>
      <c r="M236" s="14" t="s">
        <v>299</v>
      </c>
      <c r="N236" s="14" t="s">
        <v>448</v>
      </c>
      <c r="O236" s="21" t="s">
        <v>48</v>
      </c>
      <c r="R236" s="14" t="s">
        <v>62</v>
      </c>
      <c r="S236" s="14" t="s">
        <v>97</v>
      </c>
      <c r="T236" s="20" t="s">
        <v>51</v>
      </c>
      <c r="U236" s="21" t="s">
        <v>144</v>
      </c>
      <c r="AL236" s="21"/>
      <c r="AM236" s="21" t="s">
        <v>53</v>
      </c>
    </row>
    <row r="237">
      <c r="A237" s="21" t="s">
        <v>708</v>
      </c>
      <c r="B237" s="21" t="s">
        <v>713</v>
      </c>
      <c r="C237" s="23" t="s">
        <v>710</v>
      </c>
      <c r="D237" s="24" t="s">
        <v>711</v>
      </c>
      <c r="E237" s="18">
        <v>140.0</v>
      </c>
      <c r="F237" s="15" t="s">
        <v>334</v>
      </c>
      <c r="G237" s="14">
        <v>2005.0</v>
      </c>
      <c r="K237" s="14">
        <v>-6.0867</v>
      </c>
      <c r="L237" s="14">
        <v>106.9987</v>
      </c>
      <c r="M237" s="14" t="s">
        <v>299</v>
      </c>
      <c r="N237" s="14" t="s">
        <v>448</v>
      </c>
      <c r="O237" s="21" t="s">
        <v>48</v>
      </c>
      <c r="R237" s="14" t="s">
        <v>62</v>
      </c>
      <c r="S237" s="14" t="s">
        <v>97</v>
      </c>
      <c r="T237" s="20" t="s">
        <v>51</v>
      </c>
      <c r="U237" s="21" t="s">
        <v>144</v>
      </c>
      <c r="AL237" s="21"/>
      <c r="AM237" s="21" t="s">
        <v>53</v>
      </c>
    </row>
    <row r="238">
      <c r="A238" s="21" t="s">
        <v>708</v>
      </c>
      <c r="B238" s="21" t="s">
        <v>714</v>
      </c>
      <c r="C238" s="23" t="s">
        <v>710</v>
      </c>
      <c r="D238" s="24" t="s">
        <v>711</v>
      </c>
      <c r="E238" s="18">
        <v>140.0</v>
      </c>
      <c r="F238" s="15" t="s">
        <v>334</v>
      </c>
      <c r="G238" s="14">
        <v>2005.0</v>
      </c>
      <c r="K238" s="14">
        <v>-6.0867</v>
      </c>
      <c r="L238" s="14">
        <v>106.9987</v>
      </c>
      <c r="M238" s="14" t="s">
        <v>299</v>
      </c>
      <c r="N238" s="14" t="s">
        <v>448</v>
      </c>
      <c r="O238" s="21" t="s">
        <v>48</v>
      </c>
      <c r="R238" s="14" t="s">
        <v>62</v>
      </c>
      <c r="S238" s="14" t="s">
        <v>97</v>
      </c>
      <c r="T238" s="20" t="s">
        <v>51</v>
      </c>
      <c r="U238" s="21" t="s">
        <v>144</v>
      </c>
      <c r="AL238" s="21"/>
      <c r="AM238" s="21" t="s">
        <v>53</v>
      </c>
    </row>
    <row r="239">
      <c r="A239" s="21" t="s">
        <v>708</v>
      </c>
      <c r="B239" s="21" t="s">
        <v>715</v>
      </c>
      <c r="C239" s="23" t="s">
        <v>710</v>
      </c>
      <c r="D239" s="24" t="s">
        <v>711</v>
      </c>
      <c r="E239" s="18">
        <v>140.0</v>
      </c>
      <c r="F239" s="15" t="s">
        <v>334</v>
      </c>
      <c r="G239" s="14">
        <v>2005.0</v>
      </c>
      <c r="K239" s="14">
        <v>-6.0867</v>
      </c>
      <c r="L239" s="14">
        <v>106.9987</v>
      </c>
      <c r="M239" s="14" t="s">
        <v>299</v>
      </c>
      <c r="N239" s="14" t="s">
        <v>448</v>
      </c>
      <c r="O239" s="21" t="s">
        <v>48</v>
      </c>
      <c r="R239" s="14" t="s">
        <v>62</v>
      </c>
      <c r="S239" s="14" t="s">
        <v>97</v>
      </c>
      <c r="T239" s="20" t="s">
        <v>51</v>
      </c>
      <c r="U239" s="21" t="s">
        <v>144</v>
      </c>
      <c r="AL239" s="21"/>
      <c r="AM239" s="21" t="s">
        <v>53</v>
      </c>
    </row>
    <row r="240">
      <c r="A240" s="21" t="s">
        <v>708</v>
      </c>
      <c r="B240" s="21" t="s">
        <v>716</v>
      </c>
      <c r="C240" s="23" t="s">
        <v>710</v>
      </c>
      <c r="D240" s="24" t="s">
        <v>711</v>
      </c>
      <c r="E240" s="18">
        <v>140.0</v>
      </c>
      <c r="F240" s="15" t="s">
        <v>334</v>
      </c>
      <c r="G240" s="14">
        <v>2005.0</v>
      </c>
      <c r="K240" s="14">
        <v>-6.0867</v>
      </c>
      <c r="L240" s="14">
        <v>106.9987</v>
      </c>
      <c r="M240" s="14" t="s">
        <v>299</v>
      </c>
      <c r="N240" s="14" t="s">
        <v>448</v>
      </c>
      <c r="O240" s="21" t="s">
        <v>48</v>
      </c>
      <c r="R240" s="14" t="s">
        <v>62</v>
      </c>
      <c r="S240" s="14" t="s">
        <v>97</v>
      </c>
      <c r="T240" s="20" t="s">
        <v>51</v>
      </c>
      <c r="U240" s="21" t="s">
        <v>144</v>
      </c>
      <c r="AL240" s="21"/>
      <c r="AM240" s="21" t="s">
        <v>53</v>
      </c>
    </row>
    <row r="241">
      <c r="A241" s="21" t="s">
        <v>717</v>
      </c>
      <c r="B241" s="21" t="s">
        <v>718</v>
      </c>
      <c r="C241" s="23" t="s">
        <v>719</v>
      </c>
      <c r="D241" s="24" t="s">
        <v>720</v>
      </c>
      <c r="E241" s="18">
        <v>144.0</v>
      </c>
      <c r="F241" s="15" t="s">
        <v>334</v>
      </c>
      <c r="G241" s="14" t="s">
        <v>80</v>
      </c>
      <c r="K241" s="14">
        <v>-0.621886</v>
      </c>
      <c r="L241" s="14">
        <v>115.137071</v>
      </c>
      <c r="M241" s="14" t="s">
        <v>706</v>
      </c>
      <c r="N241" s="14" t="s">
        <v>707</v>
      </c>
      <c r="O241" s="21" t="s">
        <v>48</v>
      </c>
      <c r="R241" s="14" t="s">
        <v>62</v>
      </c>
      <c r="S241" s="14" t="s">
        <v>50</v>
      </c>
      <c r="T241" s="20" t="s">
        <v>51</v>
      </c>
      <c r="U241" s="21" t="s">
        <v>480</v>
      </c>
      <c r="AL241" s="21"/>
      <c r="AM241" s="21" t="s">
        <v>53</v>
      </c>
    </row>
    <row r="242">
      <c r="A242" s="21" t="s">
        <v>721</v>
      </c>
      <c r="B242" s="21" t="s">
        <v>722</v>
      </c>
      <c r="C242" s="23" t="s">
        <v>723</v>
      </c>
      <c r="D242" s="24" t="s">
        <v>724</v>
      </c>
      <c r="E242" s="18">
        <v>150.0</v>
      </c>
      <c r="F242" s="15" t="s">
        <v>334</v>
      </c>
      <c r="G242" s="14">
        <v>2004.0</v>
      </c>
      <c r="K242" s="14">
        <v>-2.926817</v>
      </c>
      <c r="L242" s="14">
        <v>104.867665</v>
      </c>
      <c r="M242" s="14" t="s">
        <v>596</v>
      </c>
      <c r="N242" s="14" t="s">
        <v>358</v>
      </c>
      <c r="O242" s="21" t="s">
        <v>48</v>
      </c>
      <c r="R242" s="14" t="s">
        <v>62</v>
      </c>
      <c r="S242" s="14" t="s">
        <v>725</v>
      </c>
      <c r="T242" s="20" t="s">
        <v>726</v>
      </c>
      <c r="U242" s="21" t="s">
        <v>70</v>
      </c>
      <c r="AL242" s="21"/>
      <c r="AM242" s="21" t="s">
        <v>53</v>
      </c>
    </row>
    <row r="243">
      <c r="A243" s="21" t="s">
        <v>727</v>
      </c>
      <c r="B243" s="21" t="s">
        <v>728</v>
      </c>
      <c r="C243" s="23" t="s">
        <v>729</v>
      </c>
      <c r="D243" s="24" t="s">
        <v>730</v>
      </c>
      <c r="E243" s="18">
        <v>160.0</v>
      </c>
      <c r="F243" s="15" t="s">
        <v>334</v>
      </c>
      <c r="G243" s="14">
        <v>2014.0</v>
      </c>
      <c r="K243" s="14">
        <v>3.771713</v>
      </c>
      <c r="L243" s="14">
        <v>98.66769</v>
      </c>
      <c r="M243" s="14" t="s">
        <v>731</v>
      </c>
      <c r="N243" s="14" t="s">
        <v>96</v>
      </c>
      <c r="O243" s="21" t="s">
        <v>129</v>
      </c>
      <c r="R243" s="14" t="s">
        <v>487</v>
      </c>
      <c r="S243" s="14" t="s">
        <v>732</v>
      </c>
      <c r="T243" s="20" t="s">
        <v>733</v>
      </c>
      <c r="U243" s="21" t="s">
        <v>480</v>
      </c>
      <c r="AL243" s="21"/>
      <c r="AM243" s="21" t="s">
        <v>53</v>
      </c>
    </row>
    <row r="244">
      <c r="D244" s="24" t="s">
        <v>734</v>
      </c>
      <c r="E244" s="19">
        <v>160.62</v>
      </c>
      <c r="F244" s="19" t="s">
        <v>334</v>
      </c>
      <c r="G244" s="23">
        <v>2015.0</v>
      </c>
      <c r="M244" s="21" t="s">
        <v>299</v>
      </c>
      <c r="N244" s="21" t="s">
        <v>377</v>
      </c>
      <c r="T244" s="20"/>
      <c r="AO244" s="21" t="s">
        <v>53</v>
      </c>
    </row>
    <row r="245">
      <c r="A245" s="21" t="s">
        <v>689</v>
      </c>
      <c r="B245" s="21" t="s">
        <v>735</v>
      </c>
      <c r="C245" s="23" t="s">
        <v>691</v>
      </c>
      <c r="D245" s="24" t="s">
        <v>692</v>
      </c>
      <c r="E245" s="18">
        <v>180.0</v>
      </c>
      <c r="F245" s="15" t="s">
        <v>334</v>
      </c>
      <c r="G245" s="14">
        <v>2013.0</v>
      </c>
      <c r="K245" s="14">
        <v>-4.175947</v>
      </c>
      <c r="L245" s="14">
        <v>120.072159</v>
      </c>
      <c r="M245" s="14" t="s">
        <v>693</v>
      </c>
      <c r="N245" s="14" t="s">
        <v>694</v>
      </c>
      <c r="O245" s="45" t="s">
        <v>129</v>
      </c>
      <c r="R245" s="14" t="s">
        <v>62</v>
      </c>
      <c r="S245" s="14" t="s">
        <v>695</v>
      </c>
      <c r="T245" s="20" t="s">
        <v>696</v>
      </c>
      <c r="U245" s="21" t="s">
        <v>70</v>
      </c>
      <c r="AL245" s="21"/>
      <c r="AM245" s="21" t="s">
        <v>53</v>
      </c>
    </row>
    <row r="246">
      <c r="A246" s="21" t="s">
        <v>736</v>
      </c>
      <c r="B246" s="21" t="s">
        <v>737</v>
      </c>
      <c r="C246" s="23" t="s">
        <v>738</v>
      </c>
      <c r="D246" s="24" t="s">
        <v>739</v>
      </c>
      <c r="E246" s="18">
        <v>184.3</v>
      </c>
      <c r="F246" s="15" t="s">
        <v>334</v>
      </c>
      <c r="G246" s="14">
        <v>2015.0</v>
      </c>
      <c r="K246" s="14">
        <v>5.215648</v>
      </c>
      <c r="L246" s="14">
        <v>97.090454</v>
      </c>
      <c r="M246" s="14" t="s">
        <v>740</v>
      </c>
      <c r="N246" s="14" t="s">
        <v>75</v>
      </c>
      <c r="O246" s="21" t="s">
        <v>48</v>
      </c>
      <c r="R246" s="14" t="s">
        <v>328</v>
      </c>
      <c r="S246" s="14" t="s">
        <v>50</v>
      </c>
      <c r="T246" s="20" t="s">
        <v>51</v>
      </c>
      <c r="U246" s="21" t="s">
        <v>480</v>
      </c>
      <c r="AL246" s="21"/>
      <c r="AM246" s="21" t="s">
        <v>53</v>
      </c>
    </row>
    <row r="247">
      <c r="A247" s="21" t="s">
        <v>741</v>
      </c>
      <c r="B247" s="21" t="s">
        <v>742</v>
      </c>
      <c r="C247" s="23" t="s">
        <v>743</v>
      </c>
      <c r="D247" s="24" t="s">
        <v>744</v>
      </c>
      <c r="E247" s="18">
        <v>199.7</v>
      </c>
      <c r="F247" s="15" t="s">
        <v>334</v>
      </c>
      <c r="G247" s="14">
        <v>1989.0</v>
      </c>
      <c r="K247" s="14">
        <v>-8.71645</v>
      </c>
      <c r="L247" s="14">
        <v>115.213325</v>
      </c>
      <c r="M247" s="14" t="s">
        <v>435</v>
      </c>
      <c r="N247" s="14" t="s">
        <v>229</v>
      </c>
      <c r="O247" s="21" t="s">
        <v>48</v>
      </c>
      <c r="R247" s="14" t="s">
        <v>49</v>
      </c>
      <c r="S247" s="14" t="s">
        <v>472</v>
      </c>
      <c r="T247" s="20" t="s">
        <v>51</v>
      </c>
      <c r="U247" s="21" t="s">
        <v>480</v>
      </c>
      <c r="AA247" s="21">
        <v>4.12</v>
      </c>
      <c r="AB247" s="21">
        <v>1105.61</v>
      </c>
      <c r="AE247" s="21">
        <v>418.98</v>
      </c>
      <c r="AG247" s="21" t="s">
        <v>745</v>
      </c>
      <c r="AH247" s="21">
        <v>37.0</v>
      </c>
      <c r="AI247" s="21">
        <v>1.6</v>
      </c>
      <c r="AJ247" s="21">
        <v>415.1</v>
      </c>
      <c r="AK247" s="21">
        <v>7.4</v>
      </c>
      <c r="AL247" s="21"/>
      <c r="AM247" s="21" t="s">
        <v>53</v>
      </c>
      <c r="AN247" s="21"/>
      <c r="AO247" s="21"/>
    </row>
    <row r="248">
      <c r="A248" s="21" t="s">
        <v>603</v>
      </c>
      <c r="B248" s="21" t="s">
        <v>746</v>
      </c>
      <c r="C248" s="23" t="s">
        <v>605</v>
      </c>
      <c r="D248" s="24" t="s">
        <v>606</v>
      </c>
      <c r="E248" s="18">
        <v>200.0</v>
      </c>
      <c r="F248" s="15" t="s">
        <v>334</v>
      </c>
      <c r="G248" s="14">
        <v>1988.0</v>
      </c>
      <c r="K248" s="14">
        <v>-7.1633</v>
      </c>
      <c r="L248" s="14">
        <v>112.6615</v>
      </c>
      <c r="M248" s="14" t="s">
        <v>607</v>
      </c>
      <c r="N248" s="14" t="s">
        <v>103</v>
      </c>
      <c r="O248" s="21" t="s">
        <v>48</v>
      </c>
      <c r="R248" s="14" t="s">
        <v>49</v>
      </c>
      <c r="S248" s="14" t="s">
        <v>97</v>
      </c>
      <c r="T248" s="20" t="s">
        <v>51</v>
      </c>
      <c r="U248" s="21" t="s">
        <v>473</v>
      </c>
      <c r="AL248" s="21"/>
      <c r="AM248" s="21" t="s">
        <v>53</v>
      </c>
    </row>
    <row r="249">
      <c r="A249" s="21" t="s">
        <v>603</v>
      </c>
      <c r="B249" s="21" t="s">
        <v>747</v>
      </c>
      <c r="C249" s="23" t="s">
        <v>605</v>
      </c>
      <c r="D249" s="24" t="s">
        <v>606</v>
      </c>
      <c r="E249" s="18">
        <v>200.0</v>
      </c>
      <c r="F249" s="15" t="s">
        <v>334</v>
      </c>
      <c r="G249" s="14">
        <v>1988.0</v>
      </c>
      <c r="K249" s="14">
        <v>-7.1633</v>
      </c>
      <c r="L249" s="14">
        <v>112.6615</v>
      </c>
      <c r="M249" s="14" t="s">
        <v>607</v>
      </c>
      <c r="N249" s="14" t="s">
        <v>103</v>
      </c>
      <c r="O249" s="21" t="s">
        <v>48</v>
      </c>
      <c r="R249" s="14" t="s">
        <v>49</v>
      </c>
      <c r="S249" s="14" t="s">
        <v>97</v>
      </c>
      <c r="T249" s="20" t="s">
        <v>51</v>
      </c>
      <c r="U249" s="21" t="s">
        <v>473</v>
      </c>
      <c r="AL249" s="21"/>
      <c r="AM249" s="21" t="s">
        <v>53</v>
      </c>
    </row>
    <row r="250">
      <c r="A250" s="21" t="s">
        <v>748</v>
      </c>
      <c r="B250" s="21" t="s">
        <v>749</v>
      </c>
      <c r="C250" s="23" t="s">
        <v>750</v>
      </c>
      <c r="D250" s="24" t="s">
        <v>751</v>
      </c>
      <c r="E250" s="18">
        <v>200.0</v>
      </c>
      <c r="F250" s="15" t="s">
        <v>334</v>
      </c>
      <c r="G250" s="14">
        <v>2023.0</v>
      </c>
      <c r="K250" s="14">
        <v>-4.935711</v>
      </c>
      <c r="L250" s="14">
        <v>119.523105</v>
      </c>
      <c r="M250" s="14" t="s">
        <v>80</v>
      </c>
      <c r="N250" s="14" t="s">
        <v>694</v>
      </c>
      <c r="O250" s="21" t="s">
        <v>48</v>
      </c>
      <c r="R250" s="14" t="s">
        <v>62</v>
      </c>
      <c r="S250" s="14" t="s">
        <v>50</v>
      </c>
      <c r="T250" s="20" t="s">
        <v>51</v>
      </c>
      <c r="U250" s="21" t="s">
        <v>70</v>
      </c>
      <c r="AL250" s="21"/>
      <c r="AM250" s="21" t="s">
        <v>53</v>
      </c>
    </row>
    <row r="251">
      <c r="A251" s="21" t="s">
        <v>752</v>
      </c>
      <c r="B251" s="21" t="s">
        <v>753</v>
      </c>
      <c r="C251" s="23" t="s">
        <v>754</v>
      </c>
      <c r="D251" s="24" t="s">
        <v>755</v>
      </c>
      <c r="E251" s="18">
        <v>200.0</v>
      </c>
      <c r="F251" s="15" t="s">
        <v>334</v>
      </c>
      <c r="G251" s="14">
        <v>1981.0</v>
      </c>
      <c r="K251" s="14">
        <v>-6.1087</v>
      </c>
      <c r="L251" s="14">
        <v>106.7877</v>
      </c>
      <c r="M251" s="14" t="s">
        <v>756</v>
      </c>
      <c r="N251" s="14" t="s">
        <v>757</v>
      </c>
      <c r="O251" s="21" t="s">
        <v>48</v>
      </c>
      <c r="R251" s="14" t="s">
        <v>62</v>
      </c>
      <c r="S251" s="14" t="s">
        <v>97</v>
      </c>
      <c r="T251" s="20" t="s">
        <v>51</v>
      </c>
      <c r="U251" s="21" t="s">
        <v>473</v>
      </c>
      <c r="AL251" s="21"/>
      <c r="AM251" s="21" t="s">
        <v>53</v>
      </c>
    </row>
    <row r="252">
      <c r="A252" s="21" t="s">
        <v>752</v>
      </c>
      <c r="B252" s="21" t="s">
        <v>758</v>
      </c>
      <c r="C252" s="23" t="s">
        <v>754</v>
      </c>
      <c r="D252" s="24" t="s">
        <v>755</v>
      </c>
      <c r="E252" s="18">
        <v>200.0</v>
      </c>
      <c r="F252" s="15" t="s">
        <v>334</v>
      </c>
      <c r="G252" s="14">
        <v>1981.0</v>
      </c>
      <c r="K252" s="14">
        <v>-6.1087</v>
      </c>
      <c r="L252" s="14">
        <v>106.7877</v>
      </c>
      <c r="M252" s="14" t="s">
        <v>756</v>
      </c>
      <c r="N252" s="14" t="s">
        <v>757</v>
      </c>
      <c r="O252" s="21" t="s">
        <v>48</v>
      </c>
      <c r="R252" s="14" t="s">
        <v>62</v>
      </c>
      <c r="S252" s="14" t="s">
        <v>97</v>
      </c>
      <c r="T252" s="20" t="s">
        <v>51</v>
      </c>
      <c r="U252" s="21" t="s">
        <v>473</v>
      </c>
      <c r="AL252" s="21"/>
      <c r="AM252" s="21" t="s">
        <v>53</v>
      </c>
      <c r="AP252" s="15"/>
      <c r="AQ252" s="15"/>
      <c r="AR252" s="15"/>
      <c r="AS252" s="15"/>
      <c r="AT252" s="15"/>
    </row>
    <row r="253">
      <c r="A253" s="21" t="s">
        <v>481</v>
      </c>
      <c r="B253" s="21" t="s">
        <v>759</v>
      </c>
      <c r="C253" s="23" t="s">
        <v>483</v>
      </c>
      <c r="D253" s="24" t="s">
        <v>484</v>
      </c>
      <c r="E253" s="18">
        <v>200.0</v>
      </c>
      <c r="F253" s="15" t="s">
        <v>334</v>
      </c>
      <c r="G253" s="14" t="s">
        <v>80</v>
      </c>
      <c r="K253" s="14">
        <v>-6.9505</v>
      </c>
      <c r="L253" s="14">
        <v>110.434</v>
      </c>
      <c r="M253" s="14" t="s">
        <v>485</v>
      </c>
      <c r="N253" s="14" t="s">
        <v>486</v>
      </c>
      <c r="O253" s="21" t="s">
        <v>48</v>
      </c>
      <c r="R253" s="14" t="s">
        <v>487</v>
      </c>
      <c r="S253" s="14" t="s">
        <v>472</v>
      </c>
      <c r="T253" s="20" t="s">
        <v>51</v>
      </c>
      <c r="U253" s="21" t="s">
        <v>473</v>
      </c>
      <c r="AL253" s="21"/>
      <c r="AM253" s="21" t="s">
        <v>53</v>
      </c>
    </row>
    <row r="254">
      <c r="A254" s="21" t="s">
        <v>760</v>
      </c>
      <c r="B254" s="21" t="s">
        <v>761</v>
      </c>
      <c r="C254" s="23" t="s">
        <v>762</v>
      </c>
      <c r="D254" s="24" t="s">
        <v>763</v>
      </c>
      <c r="E254" s="18">
        <v>240.5</v>
      </c>
      <c r="F254" s="15" t="s">
        <v>334</v>
      </c>
      <c r="G254" s="14">
        <v>2021.0</v>
      </c>
      <c r="K254" s="14">
        <v>5.214774</v>
      </c>
      <c r="L254" s="14">
        <v>97.085577</v>
      </c>
      <c r="M254" s="14" t="s">
        <v>740</v>
      </c>
      <c r="N254" s="14" t="s">
        <v>75</v>
      </c>
      <c r="O254" s="21" t="s">
        <v>48</v>
      </c>
      <c r="R254" s="14" t="s">
        <v>62</v>
      </c>
      <c r="S254" s="14" t="s">
        <v>50</v>
      </c>
      <c r="T254" s="20" t="s">
        <v>51</v>
      </c>
      <c r="U254" s="21" t="s">
        <v>480</v>
      </c>
      <c r="AL254" s="21"/>
      <c r="AM254" s="21" t="s">
        <v>53</v>
      </c>
    </row>
    <row r="255">
      <c r="A255" s="21" t="s">
        <v>708</v>
      </c>
      <c r="B255" s="21" t="s">
        <v>764</v>
      </c>
      <c r="C255" s="23" t="s">
        <v>710</v>
      </c>
      <c r="D255" s="24" t="s">
        <v>711</v>
      </c>
      <c r="E255" s="18">
        <v>280.0</v>
      </c>
      <c r="F255" s="15" t="s">
        <v>334</v>
      </c>
      <c r="G255" s="14">
        <v>2022.0</v>
      </c>
      <c r="K255" s="14">
        <v>-6.0867</v>
      </c>
      <c r="L255" s="14">
        <v>106.9987</v>
      </c>
      <c r="M255" s="14" t="s">
        <v>299</v>
      </c>
      <c r="N255" s="14" t="s">
        <v>448</v>
      </c>
      <c r="O255" s="21" t="s">
        <v>48</v>
      </c>
      <c r="R255" s="14" t="s">
        <v>62</v>
      </c>
      <c r="S255" s="14" t="s">
        <v>97</v>
      </c>
      <c r="T255" s="20" t="s">
        <v>51</v>
      </c>
      <c r="U255" s="21" t="s">
        <v>144</v>
      </c>
      <c r="AL255" s="21"/>
      <c r="AM255" s="21" t="s">
        <v>53</v>
      </c>
    </row>
    <row r="256">
      <c r="D256" s="24" t="s">
        <v>765</v>
      </c>
      <c r="E256" s="19">
        <v>285.0</v>
      </c>
      <c r="F256" s="19" t="s">
        <v>334</v>
      </c>
      <c r="G256" s="21">
        <v>1998.0</v>
      </c>
      <c r="K256" s="21">
        <v>1.37396703021402</v>
      </c>
      <c r="L256" s="21">
        <v>101.225041597154</v>
      </c>
      <c r="M256" s="21" t="s">
        <v>374</v>
      </c>
      <c r="N256" s="21" t="s">
        <v>320</v>
      </c>
      <c r="O256" s="21" t="s">
        <v>766</v>
      </c>
      <c r="P256" s="21" t="s">
        <v>767</v>
      </c>
      <c r="Q256" s="21" t="s">
        <v>768</v>
      </c>
      <c r="R256" s="21" t="s">
        <v>49</v>
      </c>
      <c r="S256" s="14" t="s">
        <v>51</v>
      </c>
      <c r="T256" s="20" t="s">
        <v>51</v>
      </c>
      <c r="U256" s="21" t="s">
        <v>70</v>
      </c>
      <c r="AO256" s="21" t="s">
        <v>53</v>
      </c>
    </row>
    <row r="257">
      <c r="A257" s="21" t="s">
        <v>769</v>
      </c>
      <c r="B257" s="21" t="s">
        <v>770</v>
      </c>
      <c r="C257" s="23" t="s">
        <v>771</v>
      </c>
      <c r="D257" s="24" t="s">
        <v>772</v>
      </c>
      <c r="E257" s="18">
        <v>296.2</v>
      </c>
      <c r="F257" s="15" t="s">
        <v>334</v>
      </c>
      <c r="G257" s="14">
        <v>2022.0</v>
      </c>
      <c r="K257" s="14">
        <v>0.539138</v>
      </c>
      <c r="L257" s="14">
        <v>101.520131</v>
      </c>
      <c r="M257" s="14" t="s">
        <v>372</v>
      </c>
      <c r="N257" s="14" t="s">
        <v>773</v>
      </c>
      <c r="O257" s="45" t="s">
        <v>129</v>
      </c>
      <c r="R257" s="14" t="s">
        <v>62</v>
      </c>
      <c r="S257" s="14" t="s">
        <v>774</v>
      </c>
      <c r="T257" s="20" t="s">
        <v>775</v>
      </c>
      <c r="U257" s="21" t="s">
        <v>70</v>
      </c>
      <c r="AA257" s="21"/>
      <c r="AB257" s="21">
        <v>51.0</v>
      </c>
      <c r="AC257" s="21"/>
      <c r="AD257" s="21"/>
      <c r="AE257" s="21">
        <v>2.7</v>
      </c>
      <c r="AF257" s="21">
        <v>30.0</v>
      </c>
      <c r="AG257" s="21" t="s">
        <v>528</v>
      </c>
      <c r="AH257" s="21">
        <v>45.0</v>
      </c>
      <c r="AI257" s="21">
        <v>3.8</v>
      </c>
      <c r="AJ257" s="21">
        <v>82.4</v>
      </c>
      <c r="AK257" s="21">
        <v>20.0</v>
      </c>
      <c r="AL257" s="21"/>
      <c r="AM257" s="21" t="s">
        <v>53</v>
      </c>
      <c r="AN257" s="21"/>
      <c r="AO257" s="21"/>
    </row>
    <row r="258">
      <c r="A258" s="21" t="s">
        <v>776</v>
      </c>
      <c r="B258" s="21" t="s">
        <v>777</v>
      </c>
      <c r="C258" s="23" t="s">
        <v>778</v>
      </c>
      <c r="D258" s="24" t="s">
        <v>779</v>
      </c>
      <c r="E258" s="18">
        <v>300.0</v>
      </c>
      <c r="F258" s="15" t="s">
        <v>334</v>
      </c>
      <c r="G258" s="14" t="s">
        <v>80</v>
      </c>
      <c r="K258" s="14">
        <v>0.514049</v>
      </c>
      <c r="L258" s="14">
        <v>100.447118</v>
      </c>
      <c r="M258" s="14" t="s">
        <v>780</v>
      </c>
      <c r="N258" s="14" t="s">
        <v>320</v>
      </c>
      <c r="O258" s="21" t="s">
        <v>48</v>
      </c>
      <c r="R258" s="14" t="s">
        <v>62</v>
      </c>
      <c r="S258" s="14" t="s">
        <v>50</v>
      </c>
      <c r="T258" s="20" t="s">
        <v>51</v>
      </c>
      <c r="U258" s="21" t="s">
        <v>70</v>
      </c>
      <c r="AL258" s="21"/>
      <c r="AM258" s="21" t="s">
        <v>53</v>
      </c>
    </row>
    <row r="259">
      <c r="A259" s="21" t="s">
        <v>708</v>
      </c>
      <c r="B259" s="21" t="s">
        <v>781</v>
      </c>
      <c r="C259" s="23" t="s">
        <v>710</v>
      </c>
      <c r="D259" s="24" t="s">
        <v>711</v>
      </c>
      <c r="E259" s="18">
        <v>325.0</v>
      </c>
      <c r="F259" s="15" t="s">
        <v>334</v>
      </c>
      <c r="G259" s="14">
        <v>2025.0</v>
      </c>
      <c r="K259" s="14">
        <v>-6.0867</v>
      </c>
      <c r="L259" s="14">
        <v>106.9987</v>
      </c>
      <c r="M259" s="14" t="s">
        <v>299</v>
      </c>
      <c r="N259" s="14" t="s">
        <v>448</v>
      </c>
      <c r="O259" s="21" t="s">
        <v>48</v>
      </c>
      <c r="R259" s="14" t="s">
        <v>62</v>
      </c>
      <c r="S259" s="14" t="s">
        <v>97</v>
      </c>
      <c r="T259" s="20" t="s">
        <v>51</v>
      </c>
      <c r="U259" s="21" t="s">
        <v>473</v>
      </c>
      <c r="AL259" s="21"/>
      <c r="AM259" s="21" t="s">
        <v>53</v>
      </c>
    </row>
    <row r="260">
      <c r="A260" s="21" t="s">
        <v>708</v>
      </c>
      <c r="B260" s="21" t="s">
        <v>782</v>
      </c>
      <c r="C260" s="23" t="s">
        <v>710</v>
      </c>
      <c r="D260" s="24" t="s">
        <v>711</v>
      </c>
      <c r="E260" s="18">
        <v>325.0</v>
      </c>
      <c r="F260" s="15" t="s">
        <v>334</v>
      </c>
      <c r="G260" s="14">
        <v>2025.0</v>
      </c>
      <c r="K260" s="14">
        <v>-6.0867</v>
      </c>
      <c r="L260" s="14">
        <v>106.9987</v>
      </c>
      <c r="M260" s="14" t="s">
        <v>299</v>
      </c>
      <c r="N260" s="14" t="s">
        <v>448</v>
      </c>
      <c r="O260" s="21" t="s">
        <v>48</v>
      </c>
      <c r="R260" s="14" t="s">
        <v>62</v>
      </c>
      <c r="S260" s="14" t="s">
        <v>97</v>
      </c>
      <c r="T260" s="20" t="s">
        <v>51</v>
      </c>
      <c r="U260" s="21" t="s">
        <v>473</v>
      </c>
      <c r="AL260" s="21"/>
      <c r="AM260" s="21" t="s">
        <v>53</v>
      </c>
    </row>
    <row r="261">
      <c r="A261" s="21" t="s">
        <v>708</v>
      </c>
      <c r="B261" s="21" t="s">
        <v>783</v>
      </c>
      <c r="C261" s="23" t="s">
        <v>710</v>
      </c>
      <c r="D261" s="24" t="s">
        <v>711</v>
      </c>
      <c r="E261" s="18">
        <v>384.0</v>
      </c>
      <c r="F261" s="15" t="s">
        <v>334</v>
      </c>
      <c r="G261" s="14">
        <v>2010.0</v>
      </c>
      <c r="K261" s="14">
        <v>-6.0867</v>
      </c>
      <c r="L261" s="14">
        <v>106.9987</v>
      </c>
      <c r="M261" s="14" t="s">
        <v>299</v>
      </c>
      <c r="N261" s="14" t="s">
        <v>448</v>
      </c>
      <c r="O261" s="21" t="s">
        <v>48</v>
      </c>
      <c r="R261" s="14" t="s">
        <v>62</v>
      </c>
      <c r="S261" s="14" t="s">
        <v>97</v>
      </c>
      <c r="T261" s="20" t="s">
        <v>51</v>
      </c>
      <c r="U261" s="21" t="s">
        <v>70</v>
      </c>
      <c r="AL261" s="21"/>
      <c r="AM261" s="21" t="s">
        <v>53</v>
      </c>
    </row>
    <row r="262">
      <c r="A262" s="21" t="s">
        <v>529</v>
      </c>
      <c r="B262" s="21" t="s">
        <v>784</v>
      </c>
      <c r="C262" s="23" t="s">
        <v>531</v>
      </c>
      <c r="D262" s="24" t="s">
        <v>532</v>
      </c>
      <c r="E262" s="18">
        <v>395.0</v>
      </c>
      <c r="F262" s="15" t="s">
        <v>334</v>
      </c>
      <c r="G262" s="14">
        <v>1994.0</v>
      </c>
      <c r="K262" s="14">
        <v>3.773148</v>
      </c>
      <c r="L262" s="14">
        <v>98.670029</v>
      </c>
      <c r="M262" s="14" t="s">
        <v>533</v>
      </c>
      <c r="N262" s="14" t="s">
        <v>96</v>
      </c>
      <c r="O262" s="21" t="s">
        <v>48</v>
      </c>
      <c r="R262" s="14" t="s">
        <v>49</v>
      </c>
      <c r="S262" s="14" t="s">
        <v>50</v>
      </c>
      <c r="T262" s="20" t="s">
        <v>51</v>
      </c>
      <c r="U262" s="21" t="s">
        <v>70</v>
      </c>
      <c r="AL262" s="21"/>
      <c r="AM262" s="21" t="s">
        <v>53</v>
      </c>
    </row>
    <row r="263">
      <c r="A263" s="21" t="s">
        <v>529</v>
      </c>
      <c r="B263" s="21" t="s">
        <v>785</v>
      </c>
      <c r="C263" s="23" t="s">
        <v>531</v>
      </c>
      <c r="D263" s="24" t="s">
        <v>532</v>
      </c>
      <c r="E263" s="18">
        <v>422.0</v>
      </c>
      <c r="F263" s="15" t="s">
        <v>334</v>
      </c>
      <c r="G263" s="14">
        <v>1994.0</v>
      </c>
      <c r="K263" s="14">
        <v>3.773148</v>
      </c>
      <c r="L263" s="14">
        <v>98.670029</v>
      </c>
      <c r="M263" s="14" t="s">
        <v>533</v>
      </c>
      <c r="N263" s="14" t="s">
        <v>96</v>
      </c>
      <c r="O263" s="21" t="s">
        <v>48</v>
      </c>
      <c r="R263" s="14" t="s">
        <v>49</v>
      </c>
      <c r="S263" s="14" t="s">
        <v>50</v>
      </c>
      <c r="T263" s="20" t="s">
        <v>51</v>
      </c>
      <c r="U263" s="21" t="s">
        <v>70</v>
      </c>
      <c r="AL263" s="21"/>
      <c r="AM263" s="21" t="s">
        <v>53</v>
      </c>
    </row>
    <row r="264">
      <c r="A264" s="21" t="s">
        <v>786</v>
      </c>
      <c r="B264" s="21" t="s">
        <v>787</v>
      </c>
      <c r="C264" s="23" t="s">
        <v>788</v>
      </c>
      <c r="D264" s="24" t="s">
        <v>789</v>
      </c>
      <c r="E264" s="18">
        <v>450.0</v>
      </c>
      <c r="F264" s="15" t="s">
        <v>334</v>
      </c>
      <c r="G264" s="14">
        <v>2020.0</v>
      </c>
      <c r="K264" s="14">
        <v>-7.6517</v>
      </c>
      <c r="L264" s="14">
        <v>113.0244</v>
      </c>
      <c r="M264" s="14" t="s">
        <v>790</v>
      </c>
      <c r="N264" s="14" t="s">
        <v>103</v>
      </c>
      <c r="O264" s="21" t="s">
        <v>48</v>
      </c>
      <c r="R264" s="14" t="s">
        <v>62</v>
      </c>
      <c r="S264" s="14" t="s">
        <v>472</v>
      </c>
      <c r="T264" s="20" t="s">
        <v>51</v>
      </c>
      <c r="U264" s="21" t="s">
        <v>70</v>
      </c>
      <c r="AL264" s="21"/>
      <c r="AM264" s="21" t="s">
        <v>53</v>
      </c>
    </row>
    <row r="265">
      <c r="A265" s="21" t="s">
        <v>786</v>
      </c>
      <c r="B265" s="21" t="s">
        <v>791</v>
      </c>
      <c r="C265" s="23" t="s">
        <v>788</v>
      </c>
      <c r="D265" s="24" t="s">
        <v>789</v>
      </c>
      <c r="E265" s="18">
        <v>450.0</v>
      </c>
      <c r="F265" s="15" t="s">
        <v>334</v>
      </c>
      <c r="G265" s="14">
        <v>2019.0</v>
      </c>
      <c r="K265" s="14">
        <v>-7.6517</v>
      </c>
      <c r="L265" s="14">
        <v>113.0244</v>
      </c>
      <c r="M265" s="14" t="s">
        <v>790</v>
      </c>
      <c r="N265" s="14" t="s">
        <v>103</v>
      </c>
      <c r="O265" s="21" t="s">
        <v>48</v>
      </c>
      <c r="R265" s="14" t="s">
        <v>62</v>
      </c>
      <c r="S265" s="14" t="s">
        <v>472</v>
      </c>
      <c r="T265" s="20" t="s">
        <v>51</v>
      </c>
      <c r="U265" s="21" t="s">
        <v>70</v>
      </c>
      <c r="AL265" s="21"/>
      <c r="AM265" s="21" t="s">
        <v>53</v>
      </c>
    </row>
    <row r="266">
      <c r="A266" s="21" t="s">
        <v>786</v>
      </c>
      <c r="B266" s="21" t="s">
        <v>792</v>
      </c>
      <c r="C266" s="23" t="s">
        <v>788</v>
      </c>
      <c r="D266" s="24" t="s">
        <v>789</v>
      </c>
      <c r="E266" s="18">
        <v>456.0</v>
      </c>
      <c r="F266" s="15" t="s">
        <v>334</v>
      </c>
      <c r="G266" s="14">
        <v>1997.0</v>
      </c>
      <c r="K266" s="14">
        <v>-7.6517</v>
      </c>
      <c r="L266" s="14">
        <v>113.0244</v>
      </c>
      <c r="M266" s="14" t="s">
        <v>790</v>
      </c>
      <c r="N266" s="14" t="s">
        <v>103</v>
      </c>
      <c r="O266" s="21" t="s">
        <v>48</v>
      </c>
      <c r="R266" s="14" t="s">
        <v>49</v>
      </c>
      <c r="S266" s="14" t="s">
        <v>472</v>
      </c>
      <c r="T266" s="20" t="s">
        <v>51</v>
      </c>
      <c r="U266" s="21" t="s">
        <v>70</v>
      </c>
      <c r="AL266" s="21"/>
      <c r="AM266" s="21" t="s">
        <v>53</v>
      </c>
    </row>
    <row r="267">
      <c r="A267" s="21" t="s">
        <v>793</v>
      </c>
      <c r="B267" s="21" t="s">
        <v>794</v>
      </c>
      <c r="C267" s="23" t="s">
        <v>795</v>
      </c>
      <c r="D267" s="24" t="s">
        <v>796</v>
      </c>
      <c r="E267" s="18">
        <v>470.0</v>
      </c>
      <c r="F267" s="15" t="s">
        <v>334</v>
      </c>
      <c r="G267" s="14">
        <v>2016.0</v>
      </c>
      <c r="K267" s="14">
        <v>3.775582</v>
      </c>
      <c r="L267" s="14">
        <v>98.669767</v>
      </c>
      <c r="M267" s="14" t="s">
        <v>533</v>
      </c>
      <c r="N267" s="14" t="s">
        <v>96</v>
      </c>
      <c r="O267" s="21" t="s">
        <v>88</v>
      </c>
      <c r="R267" s="14" t="s">
        <v>62</v>
      </c>
      <c r="S267" s="14" t="s">
        <v>667</v>
      </c>
      <c r="T267" s="20" t="s">
        <v>668</v>
      </c>
      <c r="U267" s="21" t="s">
        <v>669</v>
      </c>
      <c r="AL267" s="21"/>
      <c r="AM267" s="21" t="s">
        <v>53</v>
      </c>
    </row>
    <row r="268">
      <c r="A268" s="21" t="s">
        <v>797</v>
      </c>
      <c r="B268" s="21" t="s">
        <v>798</v>
      </c>
      <c r="C268" s="23" t="s">
        <v>799</v>
      </c>
      <c r="D268" s="24" t="s">
        <v>800</v>
      </c>
      <c r="E268" s="18">
        <v>500.0</v>
      </c>
      <c r="F268" s="15" t="s">
        <v>334</v>
      </c>
      <c r="G268" s="14">
        <v>2020.0</v>
      </c>
      <c r="K268" s="14">
        <v>-7.089043</v>
      </c>
      <c r="L268" s="14">
        <v>112.606961</v>
      </c>
      <c r="M268" s="14" t="s">
        <v>344</v>
      </c>
      <c r="N268" s="14" t="s">
        <v>103</v>
      </c>
      <c r="O268" s="21" t="s">
        <v>88</v>
      </c>
      <c r="R268" s="14" t="s">
        <v>62</v>
      </c>
      <c r="S268" s="14" t="s">
        <v>801</v>
      </c>
      <c r="T268" s="20" t="s">
        <v>802</v>
      </c>
      <c r="U268" s="21" t="s">
        <v>144</v>
      </c>
      <c r="AL268" s="21"/>
      <c r="AM268" s="21" t="s">
        <v>53</v>
      </c>
    </row>
    <row r="269">
      <c r="A269" s="21" t="s">
        <v>752</v>
      </c>
      <c r="B269" s="21" t="s">
        <v>803</v>
      </c>
      <c r="C269" s="23" t="s">
        <v>754</v>
      </c>
      <c r="D269" s="24" t="s">
        <v>755</v>
      </c>
      <c r="E269" s="18">
        <v>500.0</v>
      </c>
      <c r="F269" s="15" t="s">
        <v>334</v>
      </c>
      <c r="G269" s="14">
        <v>2021.0</v>
      </c>
      <c r="K269" s="14">
        <v>-6.1087</v>
      </c>
      <c r="L269" s="14">
        <v>106.7877</v>
      </c>
      <c r="M269" s="14" t="s">
        <v>756</v>
      </c>
      <c r="N269" s="14" t="s">
        <v>757</v>
      </c>
      <c r="O269" s="21" t="s">
        <v>48</v>
      </c>
      <c r="R269" s="14" t="s">
        <v>49</v>
      </c>
      <c r="S269" s="14" t="s">
        <v>97</v>
      </c>
      <c r="T269" s="20" t="s">
        <v>51</v>
      </c>
      <c r="U269" s="21" t="s">
        <v>70</v>
      </c>
      <c r="AB269" s="21">
        <v>52.77</v>
      </c>
      <c r="AC269" s="21">
        <v>0.0</v>
      </c>
      <c r="AD269" s="21">
        <v>4.8</v>
      </c>
      <c r="AE269" s="21">
        <v>0.98</v>
      </c>
      <c r="AF269" s="21">
        <v>5.24</v>
      </c>
      <c r="AG269" s="21" t="s">
        <v>528</v>
      </c>
      <c r="AL269" s="21"/>
      <c r="AM269" s="21" t="s">
        <v>53</v>
      </c>
    </row>
    <row r="270">
      <c r="A270" s="21" t="s">
        <v>752</v>
      </c>
      <c r="B270" s="21" t="s">
        <v>804</v>
      </c>
      <c r="C270" s="23" t="s">
        <v>754</v>
      </c>
      <c r="D270" s="24" t="s">
        <v>755</v>
      </c>
      <c r="E270" s="18">
        <v>509.0</v>
      </c>
      <c r="F270" s="15" t="s">
        <v>334</v>
      </c>
      <c r="G270" s="14">
        <v>1995.0</v>
      </c>
      <c r="K270" s="14">
        <v>-6.1087</v>
      </c>
      <c r="L270" s="14">
        <v>106.7877</v>
      </c>
      <c r="M270" s="14" t="s">
        <v>756</v>
      </c>
      <c r="N270" s="14" t="s">
        <v>757</v>
      </c>
      <c r="O270" s="21" t="s">
        <v>48</v>
      </c>
      <c r="R270" s="14" t="s">
        <v>49</v>
      </c>
      <c r="S270" s="14" t="s">
        <v>97</v>
      </c>
      <c r="T270" s="20" t="s">
        <v>51</v>
      </c>
      <c r="U270" s="21" t="s">
        <v>70</v>
      </c>
      <c r="AB270" s="21">
        <v>128.1</v>
      </c>
      <c r="AC270" s="21">
        <v>5.0</v>
      </c>
      <c r="AD270" s="21">
        <v>4.5</v>
      </c>
      <c r="AE270" s="21">
        <v>3.5</v>
      </c>
      <c r="AF270" s="21">
        <v>3.5</v>
      </c>
      <c r="AG270" s="21" t="s">
        <v>528</v>
      </c>
      <c r="AL270" s="21"/>
      <c r="AM270" s="21" t="s">
        <v>53</v>
      </c>
    </row>
    <row r="271">
      <c r="A271" s="21" t="s">
        <v>481</v>
      </c>
      <c r="B271" s="21" t="s">
        <v>805</v>
      </c>
      <c r="C271" s="23" t="s">
        <v>483</v>
      </c>
      <c r="D271" s="24" t="s">
        <v>484</v>
      </c>
      <c r="E271" s="18">
        <v>517.0</v>
      </c>
      <c r="F271" s="15" t="s">
        <v>334</v>
      </c>
      <c r="G271" s="14">
        <v>1993.0</v>
      </c>
      <c r="K271" s="14">
        <v>-6.9505</v>
      </c>
      <c r="L271" s="14">
        <v>110.434</v>
      </c>
      <c r="M271" s="14" t="s">
        <v>485</v>
      </c>
      <c r="N271" s="14" t="s">
        <v>486</v>
      </c>
      <c r="O271" s="21" t="s">
        <v>48</v>
      </c>
      <c r="R271" s="14" t="s">
        <v>49</v>
      </c>
      <c r="S271" s="14" t="s">
        <v>472</v>
      </c>
      <c r="T271" s="20" t="s">
        <v>51</v>
      </c>
      <c r="U271" s="21" t="s">
        <v>70</v>
      </c>
      <c r="AL271" s="21"/>
      <c r="AM271" s="21" t="s">
        <v>53</v>
      </c>
    </row>
    <row r="272">
      <c r="A272" s="21" t="s">
        <v>481</v>
      </c>
      <c r="B272" s="21" t="s">
        <v>806</v>
      </c>
      <c r="C272" s="23" t="s">
        <v>483</v>
      </c>
      <c r="D272" s="24" t="s">
        <v>484</v>
      </c>
      <c r="E272" s="18">
        <v>517.0</v>
      </c>
      <c r="F272" s="15" t="s">
        <v>334</v>
      </c>
      <c r="G272" s="14">
        <v>1997.0</v>
      </c>
      <c r="K272" s="14">
        <v>-6.9505</v>
      </c>
      <c r="L272" s="14">
        <v>110.434</v>
      </c>
      <c r="M272" s="14" t="s">
        <v>485</v>
      </c>
      <c r="N272" s="14" t="s">
        <v>486</v>
      </c>
      <c r="O272" s="21" t="s">
        <v>48</v>
      </c>
      <c r="R272" s="14" t="s">
        <v>49</v>
      </c>
      <c r="S272" s="14" t="s">
        <v>472</v>
      </c>
      <c r="T272" s="20" t="s">
        <v>51</v>
      </c>
      <c r="U272" s="21" t="s">
        <v>70</v>
      </c>
      <c r="AL272" s="21"/>
      <c r="AM272" s="21" t="s">
        <v>53</v>
      </c>
    </row>
    <row r="273">
      <c r="A273" s="21" t="s">
        <v>603</v>
      </c>
      <c r="B273" s="21" t="s">
        <v>807</v>
      </c>
      <c r="C273" s="23" t="s">
        <v>605</v>
      </c>
      <c r="D273" s="24" t="s">
        <v>606</v>
      </c>
      <c r="E273" s="18">
        <v>526.0</v>
      </c>
      <c r="F273" s="15" t="s">
        <v>334</v>
      </c>
      <c r="G273" s="14">
        <v>1993.0</v>
      </c>
      <c r="K273" s="14">
        <v>-7.1633</v>
      </c>
      <c r="L273" s="14">
        <v>112.6615</v>
      </c>
      <c r="M273" s="14" t="s">
        <v>607</v>
      </c>
      <c r="N273" s="14" t="s">
        <v>103</v>
      </c>
      <c r="O273" s="21" t="s">
        <v>48</v>
      </c>
      <c r="R273" s="14" t="s">
        <v>49</v>
      </c>
      <c r="S273" s="14" t="s">
        <v>97</v>
      </c>
      <c r="T273" s="20" t="s">
        <v>51</v>
      </c>
      <c r="U273" s="21" t="s">
        <v>70</v>
      </c>
      <c r="AL273" s="21"/>
      <c r="AM273" s="21" t="s">
        <v>53</v>
      </c>
    </row>
    <row r="274">
      <c r="A274" s="21" t="s">
        <v>603</v>
      </c>
      <c r="B274" s="21" t="s">
        <v>808</v>
      </c>
      <c r="C274" s="23" t="s">
        <v>605</v>
      </c>
      <c r="D274" s="24" t="s">
        <v>606</v>
      </c>
      <c r="E274" s="18">
        <v>526.0</v>
      </c>
      <c r="F274" s="15" t="s">
        <v>334</v>
      </c>
      <c r="G274" s="14">
        <v>1993.0</v>
      </c>
      <c r="K274" s="14">
        <v>-7.1633</v>
      </c>
      <c r="L274" s="14">
        <v>112.6615</v>
      </c>
      <c r="M274" s="14" t="s">
        <v>607</v>
      </c>
      <c r="N274" s="14" t="s">
        <v>103</v>
      </c>
      <c r="O274" s="21" t="s">
        <v>48</v>
      </c>
      <c r="R274" s="14" t="s">
        <v>49</v>
      </c>
      <c r="S274" s="14" t="s">
        <v>97</v>
      </c>
      <c r="T274" s="20" t="s">
        <v>51</v>
      </c>
      <c r="U274" s="21" t="s">
        <v>70</v>
      </c>
      <c r="AL274" s="21"/>
      <c r="AM274" s="21" t="s">
        <v>53</v>
      </c>
    </row>
    <row r="275">
      <c r="A275" s="21" t="s">
        <v>603</v>
      </c>
      <c r="B275" s="21" t="s">
        <v>809</v>
      </c>
      <c r="C275" s="23" t="s">
        <v>605</v>
      </c>
      <c r="D275" s="24" t="s">
        <v>606</v>
      </c>
      <c r="E275" s="18">
        <v>526.0</v>
      </c>
      <c r="F275" s="15" t="s">
        <v>334</v>
      </c>
      <c r="G275" s="14">
        <v>1993.0</v>
      </c>
      <c r="K275" s="14">
        <v>-7.1633</v>
      </c>
      <c r="L275" s="14">
        <v>112.6615</v>
      </c>
      <c r="M275" s="14" t="s">
        <v>607</v>
      </c>
      <c r="N275" s="14" t="s">
        <v>103</v>
      </c>
      <c r="O275" s="21" t="s">
        <v>48</v>
      </c>
      <c r="R275" s="14" t="s">
        <v>49</v>
      </c>
      <c r="S275" s="14" t="s">
        <v>97</v>
      </c>
      <c r="T275" s="20" t="s">
        <v>51</v>
      </c>
      <c r="U275" s="21" t="s">
        <v>70</v>
      </c>
      <c r="AL275" s="21"/>
      <c r="AM275" s="21" t="s">
        <v>53</v>
      </c>
    </row>
    <row r="276">
      <c r="A276" s="21" t="s">
        <v>810</v>
      </c>
      <c r="B276" s="21" t="s">
        <v>811</v>
      </c>
      <c r="C276" s="23" t="s">
        <v>812</v>
      </c>
      <c r="D276" s="24" t="s">
        <v>813</v>
      </c>
      <c r="E276" s="18">
        <v>590.0</v>
      </c>
      <c r="F276" s="15" t="s">
        <v>334</v>
      </c>
      <c r="G276" s="14">
        <v>1994.0</v>
      </c>
      <c r="K276" s="14">
        <v>-6.1102</v>
      </c>
      <c r="L276" s="14">
        <v>106.8671</v>
      </c>
      <c r="M276" s="14" t="s">
        <v>814</v>
      </c>
      <c r="N276" s="14" t="s">
        <v>757</v>
      </c>
      <c r="O276" s="21" t="s">
        <v>48</v>
      </c>
      <c r="R276" s="14" t="s">
        <v>49</v>
      </c>
      <c r="S276" s="14" t="s">
        <v>472</v>
      </c>
      <c r="T276" s="20" t="s">
        <v>51</v>
      </c>
      <c r="U276" s="21" t="s">
        <v>70</v>
      </c>
      <c r="AL276" s="21"/>
      <c r="AM276" s="21" t="s">
        <v>53</v>
      </c>
    </row>
    <row r="277">
      <c r="A277" s="21" t="s">
        <v>810</v>
      </c>
      <c r="B277" s="21" t="s">
        <v>815</v>
      </c>
      <c r="C277" s="23" t="s">
        <v>812</v>
      </c>
      <c r="D277" s="24" t="s">
        <v>813</v>
      </c>
      <c r="E277" s="18">
        <v>590.0</v>
      </c>
      <c r="F277" s="15" t="s">
        <v>334</v>
      </c>
      <c r="G277" s="14">
        <v>1994.0</v>
      </c>
      <c r="K277" s="14">
        <v>-6.1102</v>
      </c>
      <c r="L277" s="14">
        <v>106.8671</v>
      </c>
      <c r="M277" s="14" t="s">
        <v>814</v>
      </c>
      <c r="N277" s="14" t="s">
        <v>757</v>
      </c>
      <c r="O277" s="21" t="s">
        <v>48</v>
      </c>
      <c r="R277" s="14" t="s">
        <v>49</v>
      </c>
      <c r="S277" s="14" t="s">
        <v>472</v>
      </c>
      <c r="T277" s="20" t="s">
        <v>51</v>
      </c>
      <c r="U277" s="21" t="s">
        <v>70</v>
      </c>
      <c r="AL277" s="21"/>
      <c r="AM277" s="21" t="s">
        <v>53</v>
      </c>
    </row>
    <row r="278">
      <c r="A278" s="21" t="s">
        <v>708</v>
      </c>
      <c r="B278" s="21" t="s">
        <v>816</v>
      </c>
      <c r="C278" s="23" t="s">
        <v>710</v>
      </c>
      <c r="D278" s="24" t="s">
        <v>711</v>
      </c>
      <c r="E278" s="18">
        <v>640.0</v>
      </c>
      <c r="F278" s="15" t="s">
        <v>334</v>
      </c>
      <c r="G278" s="14">
        <v>1997.0</v>
      </c>
      <c r="K278" s="14">
        <v>-6.0867</v>
      </c>
      <c r="L278" s="14">
        <v>106.9987</v>
      </c>
      <c r="M278" s="14" t="s">
        <v>299</v>
      </c>
      <c r="N278" s="14" t="s">
        <v>448</v>
      </c>
      <c r="O278" s="21" t="s">
        <v>48</v>
      </c>
      <c r="R278" s="14" t="s">
        <v>62</v>
      </c>
      <c r="S278" s="14" t="s">
        <v>97</v>
      </c>
      <c r="T278" s="20" t="s">
        <v>51</v>
      </c>
      <c r="U278" s="21" t="s">
        <v>70</v>
      </c>
      <c r="AL278" s="21"/>
      <c r="AM278" s="21" t="s">
        <v>53</v>
      </c>
    </row>
    <row r="279">
      <c r="A279" s="21" t="s">
        <v>752</v>
      </c>
      <c r="B279" s="21" t="s">
        <v>817</v>
      </c>
      <c r="C279" s="23" t="s">
        <v>754</v>
      </c>
      <c r="D279" s="24" t="s">
        <v>755</v>
      </c>
      <c r="E279" s="18">
        <v>720.0</v>
      </c>
      <c r="F279" s="15" t="s">
        <v>334</v>
      </c>
      <c r="G279" s="14">
        <v>2011.0</v>
      </c>
      <c r="K279" s="14">
        <v>-6.1087</v>
      </c>
      <c r="L279" s="14">
        <v>106.7877</v>
      </c>
      <c r="M279" s="14" t="s">
        <v>756</v>
      </c>
      <c r="N279" s="14" t="s">
        <v>757</v>
      </c>
      <c r="O279" s="21" t="s">
        <v>48</v>
      </c>
      <c r="R279" s="14" t="s">
        <v>62</v>
      </c>
      <c r="S279" s="14" t="s">
        <v>97</v>
      </c>
      <c r="T279" s="20" t="s">
        <v>51</v>
      </c>
      <c r="U279" s="21" t="s">
        <v>70</v>
      </c>
      <c r="AL279" s="21"/>
      <c r="AM279" s="21" t="s">
        <v>53</v>
      </c>
    </row>
    <row r="280">
      <c r="A280" s="21" t="s">
        <v>818</v>
      </c>
      <c r="B280" s="21" t="s">
        <v>819</v>
      </c>
      <c r="C280" s="23" t="s">
        <v>820</v>
      </c>
      <c r="D280" s="24" t="s">
        <v>821</v>
      </c>
      <c r="E280" s="18">
        <v>740.0</v>
      </c>
      <c r="F280" s="15" t="s">
        <v>334</v>
      </c>
      <c r="G280" s="14">
        <v>2007.0</v>
      </c>
      <c r="K280" s="14">
        <v>-5.9306</v>
      </c>
      <c r="L280" s="14">
        <v>106.1042</v>
      </c>
      <c r="M280" s="14" t="s">
        <v>822</v>
      </c>
      <c r="N280" s="14" t="s">
        <v>87</v>
      </c>
      <c r="O280" s="21" t="s">
        <v>48</v>
      </c>
      <c r="R280" s="14" t="s">
        <v>62</v>
      </c>
      <c r="S280" s="14" t="s">
        <v>472</v>
      </c>
      <c r="T280" s="20" t="s">
        <v>51</v>
      </c>
      <c r="U280" s="21" t="s">
        <v>70</v>
      </c>
      <c r="AL280" s="21"/>
      <c r="AM280" s="21" t="s">
        <v>53</v>
      </c>
      <c r="AP280" s="15"/>
      <c r="AQ280" s="15"/>
      <c r="AR280" s="15"/>
      <c r="AS280" s="15"/>
      <c r="AT280" s="15"/>
    </row>
    <row r="281">
      <c r="A281" s="21" t="s">
        <v>810</v>
      </c>
      <c r="B281" s="21" t="s">
        <v>823</v>
      </c>
      <c r="C281" s="23" t="s">
        <v>812</v>
      </c>
      <c r="D281" s="24" t="s">
        <v>813</v>
      </c>
      <c r="E281" s="18">
        <v>750.0</v>
      </c>
      <c r="F281" s="15" t="s">
        <v>334</v>
      </c>
      <c r="G281" s="14">
        <v>2012.0</v>
      </c>
      <c r="K281" s="14">
        <v>-6.1102</v>
      </c>
      <c r="L281" s="14">
        <v>106.8671</v>
      </c>
      <c r="M281" s="14" t="s">
        <v>814</v>
      </c>
      <c r="N281" s="14" t="s">
        <v>757</v>
      </c>
      <c r="O281" s="21" t="s">
        <v>48</v>
      </c>
      <c r="R281" s="14" t="s">
        <v>62</v>
      </c>
      <c r="S281" s="14" t="s">
        <v>472</v>
      </c>
      <c r="T281" s="20" t="s">
        <v>51</v>
      </c>
      <c r="U281" s="21" t="s">
        <v>70</v>
      </c>
      <c r="AL281" s="21"/>
      <c r="AM281" s="21" t="s">
        <v>53</v>
      </c>
      <c r="AP281" s="15"/>
      <c r="AQ281" s="15"/>
      <c r="AR281" s="15"/>
      <c r="AS281" s="15"/>
      <c r="AT281" s="15"/>
    </row>
    <row r="282">
      <c r="A282" s="21" t="s">
        <v>610</v>
      </c>
      <c r="B282" s="21" t="s">
        <v>824</v>
      </c>
      <c r="C282" s="23" t="s">
        <v>612</v>
      </c>
      <c r="D282" s="24" t="s">
        <v>613</v>
      </c>
      <c r="E282" s="18">
        <v>755.0</v>
      </c>
      <c r="F282" s="15" t="s">
        <v>334</v>
      </c>
      <c r="G282" s="14">
        <v>1993.0</v>
      </c>
      <c r="K282" s="14">
        <v>-6.290774</v>
      </c>
      <c r="L282" s="14">
        <v>107.120446</v>
      </c>
      <c r="M282" s="14" t="s">
        <v>614</v>
      </c>
      <c r="N282" s="14" t="s">
        <v>448</v>
      </c>
      <c r="O282" s="21" t="s">
        <v>88</v>
      </c>
      <c r="R282" s="14" t="s">
        <v>62</v>
      </c>
      <c r="S282" s="14" t="s">
        <v>615</v>
      </c>
      <c r="T282" s="20" t="s">
        <v>616</v>
      </c>
      <c r="U282" s="21" t="s">
        <v>70</v>
      </c>
      <c r="AL282" s="21"/>
      <c r="AM282" s="21" t="s">
        <v>53</v>
      </c>
      <c r="AP282" s="15"/>
      <c r="AQ282" s="15"/>
      <c r="AR282" s="15"/>
      <c r="AS282" s="15"/>
      <c r="AT282" s="15"/>
    </row>
    <row r="283">
      <c r="A283" s="21" t="s">
        <v>481</v>
      </c>
      <c r="B283" s="21" t="s">
        <v>825</v>
      </c>
      <c r="C283" s="23" t="s">
        <v>483</v>
      </c>
      <c r="D283" s="24" t="s">
        <v>484</v>
      </c>
      <c r="E283" s="18">
        <v>780.0</v>
      </c>
      <c r="F283" s="15" t="s">
        <v>334</v>
      </c>
      <c r="G283" s="14">
        <v>2024.0</v>
      </c>
      <c r="K283" s="14">
        <v>-6.9505</v>
      </c>
      <c r="L283" s="14">
        <v>110.434</v>
      </c>
      <c r="M283" s="14" t="s">
        <v>485</v>
      </c>
      <c r="N283" s="14" t="s">
        <v>486</v>
      </c>
      <c r="O283" s="21" t="s">
        <v>48</v>
      </c>
      <c r="R283" s="14" t="s">
        <v>62</v>
      </c>
      <c r="S283" s="14" t="s">
        <v>472</v>
      </c>
      <c r="T283" s="20" t="s">
        <v>51</v>
      </c>
      <c r="U283" s="21" t="s">
        <v>70</v>
      </c>
      <c r="AL283" s="21"/>
      <c r="AM283" s="21" t="s">
        <v>53</v>
      </c>
      <c r="AP283" s="15"/>
      <c r="AQ283" s="15"/>
      <c r="AR283" s="15"/>
      <c r="AS283" s="15"/>
      <c r="AT283" s="15"/>
    </row>
    <row r="284">
      <c r="A284" s="21" t="s">
        <v>826</v>
      </c>
      <c r="B284" s="21" t="s">
        <v>827</v>
      </c>
      <c r="C284" s="23" t="s">
        <v>828</v>
      </c>
      <c r="D284" s="24" t="s">
        <v>829</v>
      </c>
      <c r="E284" s="18">
        <v>880.0</v>
      </c>
      <c r="F284" s="15" t="s">
        <v>334</v>
      </c>
      <c r="G284" s="14">
        <v>2024.0</v>
      </c>
      <c r="K284" s="14">
        <v>-6.244232</v>
      </c>
      <c r="L284" s="14">
        <v>107.588132</v>
      </c>
      <c r="M284" s="14" t="s">
        <v>830</v>
      </c>
      <c r="N284" s="14" t="s">
        <v>448</v>
      </c>
      <c r="O284" s="21" t="s">
        <v>129</v>
      </c>
      <c r="R284" s="14" t="s">
        <v>328</v>
      </c>
      <c r="S284" s="14" t="s">
        <v>831</v>
      </c>
      <c r="T284" s="20" t="s">
        <v>832</v>
      </c>
      <c r="U284" s="21" t="s">
        <v>70</v>
      </c>
      <c r="AA284" s="21"/>
      <c r="AB284" s="21">
        <v>51.0</v>
      </c>
      <c r="AC284" s="21">
        <v>50.0</v>
      </c>
      <c r="AD284" s="21"/>
      <c r="AG284" s="21" t="s">
        <v>624</v>
      </c>
      <c r="AH284" s="21">
        <v>60.0</v>
      </c>
      <c r="AI284" s="21">
        <v>9.44</v>
      </c>
      <c r="AJ284" s="21">
        <v>66.9</v>
      </c>
      <c r="AK284" s="21">
        <v>15.2</v>
      </c>
      <c r="AL284" s="21"/>
      <c r="AM284" s="21" t="s">
        <v>53</v>
      </c>
      <c r="AN284" s="21"/>
      <c r="AO284" s="21"/>
      <c r="AP284" s="15"/>
      <c r="AQ284" s="15"/>
      <c r="AR284" s="15"/>
      <c r="AS284" s="15"/>
      <c r="AT284" s="15"/>
    </row>
    <row r="285">
      <c r="A285" s="21" t="s">
        <v>826</v>
      </c>
      <c r="B285" s="21" t="s">
        <v>833</v>
      </c>
      <c r="C285" s="23" t="s">
        <v>828</v>
      </c>
      <c r="D285" s="24" t="s">
        <v>829</v>
      </c>
      <c r="E285" s="18">
        <v>880.0</v>
      </c>
      <c r="F285" s="15" t="s">
        <v>334</v>
      </c>
      <c r="G285" s="14">
        <v>2024.0</v>
      </c>
      <c r="K285" s="14">
        <v>-6.244232</v>
      </c>
      <c r="L285" s="14">
        <v>107.588132</v>
      </c>
      <c r="M285" s="14" t="s">
        <v>830</v>
      </c>
      <c r="N285" s="14" t="s">
        <v>448</v>
      </c>
      <c r="O285" s="21" t="s">
        <v>129</v>
      </c>
      <c r="R285" s="14" t="s">
        <v>328</v>
      </c>
      <c r="S285" s="14" t="s">
        <v>831</v>
      </c>
      <c r="T285" s="20" t="s">
        <v>832</v>
      </c>
      <c r="U285" s="21" t="s">
        <v>70</v>
      </c>
      <c r="AA285" s="21"/>
      <c r="AB285" s="21">
        <v>51.0</v>
      </c>
      <c r="AC285" s="21">
        <v>50.0</v>
      </c>
      <c r="AD285" s="21"/>
      <c r="AG285" s="21" t="s">
        <v>624</v>
      </c>
      <c r="AH285" s="21">
        <v>60.0</v>
      </c>
      <c r="AI285" s="21">
        <v>9.44</v>
      </c>
      <c r="AJ285" s="21">
        <v>66.9</v>
      </c>
      <c r="AK285" s="21">
        <v>15.2</v>
      </c>
      <c r="AL285" s="21"/>
      <c r="AM285" s="21" t="s">
        <v>53</v>
      </c>
      <c r="AN285" s="21"/>
      <c r="AO285" s="21"/>
      <c r="AP285" s="15"/>
      <c r="AQ285" s="15"/>
      <c r="AR285" s="15"/>
      <c r="AS285" s="15"/>
      <c r="AT285" s="15"/>
    </row>
    <row r="286">
      <c r="A286" s="21" t="s">
        <v>810</v>
      </c>
      <c r="B286" s="21" t="s">
        <v>834</v>
      </c>
      <c r="C286" s="23" t="s">
        <v>812</v>
      </c>
      <c r="D286" s="24" t="s">
        <v>813</v>
      </c>
      <c r="E286" s="18">
        <v>891.9</v>
      </c>
      <c r="F286" s="15" t="s">
        <v>334</v>
      </c>
      <c r="G286" s="14">
        <v>2019.0</v>
      </c>
      <c r="K286" s="14">
        <v>-6.1102</v>
      </c>
      <c r="L286" s="14">
        <v>106.8671</v>
      </c>
      <c r="M286" s="14" t="s">
        <v>814</v>
      </c>
      <c r="N286" s="14" t="s">
        <v>757</v>
      </c>
      <c r="O286" s="21" t="s">
        <v>48</v>
      </c>
      <c r="R286" s="14" t="s">
        <v>62</v>
      </c>
      <c r="S286" s="14" t="s">
        <v>472</v>
      </c>
      <c r="T286" s="20" t="s">
        <v>51</v>
      </c>
      <c r="U286" s="21" t="s">
        <v>70</v>
      </c>
      <c r="AA286" s="21"/>
      <c r="AB286" s="21">
        <v>40.4</v>
      </c>
      <c r="AC286" s="21"/>
      <c r="AD286" s="21"/>
      <c r="AE286" s="21">
        <v>4.3</v>
      </c>
      <c r="AG286" s="21" t="s">
        <v>624</v>
      </c>
      <c r="AH286" s="21">
        <v>45.0</v>
      </c>
      <c r="AI286" s="21">
        <v>5.4</v>
      </c>
      <c r="AJ286" s="21">
        <v>124.9</v>
      </c>
      <c r="AK286" s="21">
        <v>6.0</v>
      </c>
      <c r="AL286" s="21"/>
      <c r="AM286" s="21" t="s">
        <v>53</v>
      </c>
      <c r="AN286" s="21"/>
      <c r="AO286" s="21"/>
      <c r="AP286" s="15"/>
      <c r="AQ286" s="15"/>
      <c r="AR286" s="15"/>
      <c r="AS286" s="15"/>
      <c r="AT286" s="15"/>
    </row>
    <row r="287">
      <c r="A287" s="21" t="s">
        <v>461</v>
      </c>
      <c r="B287" s="21" t="s">
        <v>835</v>
      </c>
      <c r="C287" s="23" t="s">
        <v>463</v>
      </c>
      <c r="D287" s="24" t="s">
        <v>464</v>
      </c>
      <c r="E287" s="18">
        <v>50.0</v>
      </c>
      <c r="F287" s="15" t="s">
        <v>836</v>
      </c>
      <c r="G287" s="14">
        <v>2023.0</v>
      </c>
      <c r="K287" s="14">
        <v>-0.384362</v>
      </c>
      <c r="L287" s="14">
        <v>117.051473</v>
      </c>
      <c r="M287" s="14" t="s">
        <v>465</v>
      </c>
      <c r="N287" s="14" t="s">
        <v>308</v>
      </c>
      <c r="O287" s="21" t="s">
        <v>48</v>
      </c>
      <c r="R287" s="14" t="s">
        <v>49</v>
      </c>
      <c r="S287" s="14" t="s">
        <v>50</v>
      </c>
      <c r="T287" s="20" t="s">
        <v>51</v>
      </c>
      <c r="U287" s="21" t="s">
        <v>144</v>
      </c>
      <c r="AL287" s="21"/>
      <c r="AM287" s="21" t="s">
        <v>53</v>
      </c>
      <c r="AP287" s="15"/>
      <c r="AQ287" s="15"/>
      <c r="AR287" s="15"/>
      <c r="AS287" s="15"/>
      <c r="AT287" s="15"/>
    </row>
    <row r="288">
      <c r="A288" s="21" t="s">
        <v>461</v>
      </c>
      <c r="B288" s="21" t="s">
        <v>837</v>
      </c>
      <c r="C288" s="23" t="s">
        <v>463</v>
      </c>
      <c r="D288" s="24" t="s">
        <v>464</v>
      </c>
      <c r="E288" s="18">
        <v>50.0</v>
      </c>
      <c r="F288" s="15" t="s">
        <v>836</v>
      </c>
      <c r="G288" s="14">
        <v>2023.0</v>
      </c>
      <c r="K288" s="14">
        <v>-0.384362</v>
      </c>
      <c r="L288" s="14">
        <v>117.051473</v>
      </c>
      <c r="M288" s="14" t="s">
        <v>465</v>
      </c>
      <c r="N288" s="14" t="s">
        <v>308</v>
      </c>
      <c r="O288" s="21" t="s">
        <v>48</v>
      </c>
      <c r="R288" s="14" t="s">
        <v>49</v>
      </c>
      <c r="S288" s="14" t="s">
        <v>50</v>
      </c>
      <c r="T288" s="20" t="s">
        <v>51</v>
      </c>
      <c r="U288" s="21" t="s">
        <v>144</v>
      </c>
      <c r="AL288" s="21"/>
      <c r="AM288" s="21" t="s">
        <v>53</v>
      </c>
      <c r="AP288" s="15"/>
      <c r="AQ288" s="15"/>
      <c r="AR288" s="15"/>
      <c r="AS288" s="15"/>
      <c r="AT288" s="15"/>
    </row>
    <row r="289">
      <c r="A289" s="21" t="s">
        <v>461</v>
      </c>
      <c r="B289" s="21" t="s">
        <v>838</v>
      </c>
      <c r="C289" s="23" t="s">
        <v>463</v>
      </c>
      <c r="D289" s="24" t="s">
        <v>464</v>
      </c>
      <c r="E289" s="18">
        <v>80.0</v>
      </c>
      <c r="F289" s="15" t="s">
        <v>836</v>
      </c>
      <c r="G289" s="14">
        <v>2026.0</v>
      </c>
      <c r="K289" s="14">
        <v>-0.384362</v>
      </c>
      <c r="L289" s="14">
        <v>117.051473</v>
      </c>
      <c r="M289" s="14" t="s">
        <v>465</v>
      </c>
      <c r="N289" s="14" t="s">
        <v>308</v>
      </c>
      <c r="O289" s="21" t="s">
        <v>48</v>
      </c>
      <c r="R289" s="14" t="s">
        <v>62</v>
      </c>
      <c r="S289" s="14" t="s">
        <v>50</v>
      </c>
      <c r="T289" s="20" t="s">
        <v>51</v>
      </c>
      <c r="U289" s="21" t="s">
        <v>70</v>
      </c>
      <c r="AL289" s="21"/>
      <c r="AM289" s="21" t="s">
        <v>53</v>
      </c>
      <c r="AP289" s="15"/>
      <c r="AQ289" s="15"/>
      <c r="AR289" s="15"/>
      <c r="AS289" s="15"/>
      <c r="AT289" s="15"/>
    </row>
    <row r="290">
      <c r="A290" s="19" t="s">
        <v>839</v>
      </c>
      <c r="B290" s="19" t="s">
        <v>840</v>
      </c>
      <c r="C290" s="35" t="s">
        <v>841</v>
      </c>
      <c r="D290" s="46" t="s">
        <v>842</v>
      </c>
      <c r="E290" s="47">
        <v>100.0</v>
      </c>
      <c r="F290" s="19" t="s">
        <v>836</v>
      </c>
      <c r="G290" s="19">
        <v>2027.0</v>
      </c>
      <c r="J290" s="19"/>
      <c r="K290" s="19">
        <v>0.168359</v>
      </c>
      <c r="L290" s="19">
        <v>109.30447</v>
      </c>
      <c r="M290" s="19"/>
      <c r="N290" s="19" t="s">
        <v>420</v>
      </c>
      <c r="O290" s="19" t="s">
        <v>48</v>
      </c>
      <c r="P290" s="19"/>
      <c r="R290" s="21" t="s">
        <v>49</v>
      </c>
      <c r="S290" s="15" t="s">
        <v>69</v>
      </c>
      <c r="T290" s="22" t="s">
        <v>69</v>
      </c>
      <c r="U290" s="21" t="s">
        <v>70</v>
      </c>
      <c r="V290" s="15"/>
      <c r="W290" s="15"/>
      <c r="X290" s="19"/>
      <c r="Y290" s="19"/>
      <c r="Z290" s="19"/>
      <c r="AA290" s="19"/>
      <c r="AB290" s="19"/>
      <c r="AC290" s="19"/>
      <c r="AD290" s="19"/>
      <c r="AE290" s="19"/>
      <c r="AF290" s="15"/>
      <c r="AG290" s="15"/>
      <c r="AH290" s="19"/>
      <c r="AI290" s="19"/>
      <c r="AJ290" s="19"/>
      <c r="AK290" s="15"/>
      <c r="AL290" s="15"/>
      <c r="AM290" s="15"/>
      <c r="AN290" s="19" t="s">
        <v>53</v>
      </c>
      <c r="AO290" s="15"/>
      <c r="AP290" s="15"/>
      <c r="AQ290" s="15"/>
      <c r="AR290" s="15"/>
      <c r="AS290" s="15"/>
      <c r="AT290" s="15"/>
    </row>
    <row r="291">
      <c r="A291" s="21" t="s">
        <v>843</v>
      </c>
      <c r="B291" s="21" t="s">
        <v>844</v>
      </c>
      <c r="C291" s="23" t="s">
        <v>845</v>
      </c>
      <c r="D291" s="24" t="s">
        <v>846</v>
      </c>
      <c r="E291" s="18">
        <v>200.0</v>
      </c>
      <c r="F291" s="15" t="s">
        <v>836</v>
      </c>
      <c r="G291" s="14">
        <v>2025.0</v>
      </c>
      <c r="K291" s="14">
        <v>1.259602</v>
      </c>
      <c r="L291" s="14">
        <v>101.212785</v>
      </c>
      <c r="M291" s="14" t="s">
        <v>634</v>
      </c>
      <c r="N291" s="14" t="s">
        <v>320</v>
      </c>
      <c r="O291" s="21" t="s">
        <v>48</v>
      </c>
      <c r="R291" s="14" t="s">
        <v>328</v>
      </c>
      <c r="S291" s="14" t="s">
        <v>50</v>
      </c>
      <c r="T291" s="20" t="s">
        <v>51</v>
      </c>
      <c r="U291" s="21" t="s">
        <v>480</v>
      </c>
      <c r="AL291" s="21"/>
      <c r="AM291" s="21" t="s">
        <v>53</v>
      </c>
      <c r="AP291" s="15"/>
      <c r="AS291" s="15"/>
      <c r="AT291" s="15"/>
    </row>
    <row r="292">
      <c r="A292" s="21" t="s">
        <v>847</v>
      </c>
      <c r="B292" s="21" t="s">
        <v>848</v>
      </c>
      <c r="C292" s="23" t="s">
        <v>849</v>
      </c>
      <c r="D292" s="24" t="s">
        <v>850</v>
      </c>
      <c r="E292" s="18">
        <v>265.0</v>
      </c>
      <c r="F292" s="15" t="s">
        <v>836</v>
      </c>
      <c r="G292" s="14">
        <v>2027.0</v>
      </c>
      <c r="K292" s="14">
        <v>-4.827752</v>
      </c>
      <c r="L292" s="14">
        <v>136.839082</v>
      </c>
      <c r="M292" s="14" t="s">
        <v>851</v>
      </c>
      <c r="N292" s="14" t="s">
        <v>47</v>
      </c>
      <c r="O292" s="21" t="s">
        <v>88</v>
      </c>
      <c r="P292" s="14" t="s">
        <v>309</v>
      </c>
      <c r="Q292" s="14" t="s">
        <v>327</v>
      </c>
      <c r="R292" s="14" t="s">
        <v>328</v>
      </c>
      <c r="S292" s="14" t="s">
        <v>852</v>
      </c>
      <c r="T292" s="20" t="s">
        <v>853</v>
      </c>
      <c r="U292" s="21" t="s">
        <v>70</v>
      </c>
      <c r="AL292" s="21"/>
      <c r="AM292" s="21" t="s">
        <v>53</v>
      </c>
      <c r="AP292" s="15"/>
      <c r="AS292" s="15"/>
      <c r="AT292" s="15"/>
    </row>
    <row r="293">
      <c r="A293" s="21" t="s">
        <v>839</v>
      </c>
      <c r="B293" s="21" t="s">
        <v>840</v>
      </c>
      <c r="C293" s="23" t="s">
        <v>841</v>
      </c>
      <c r="D293" s="24" t="s">
        <v>842</v>
      </c>
      <c r="E293" s="18">
        <v>300.0</v>
      </c>
      <c r="F293" s="15" t="s">
        <v>836</v>
      </c>
      <c r="G293" s="14">
        <v>2024.0</v>
      </c>
      <c r="K293" s="14">
        <v>0.168359</v>
      </c>
      <c r="L293" s="14">
        <v>109.30447</v>
      </c>
      <c r="M293" s="14" t="s">
        <v>854</v>
      </c>
      <c r="N293" s="14" t="s">
        <v>420</v>
      </c>
      <c r="O293" s="21" t="s">
        <v>48</v>
      </c>
      <c r="R293" s="14" t="s">
        <v>62</v>
      </c>
      <c r="S293" s="14" t="s">
        <v>50</v>
      </c>
      <c r="T293" s="20" t="s">
        <v>51</v>
      </c>
      <c r="U293" s="21" t="s">
        <v>70</v>
      </c>
      <c r="AL293" s="21"/>
      <c r="AM293" s="21" t="s">
        <v>53</v>
      </c>
      <c r="AP293" s="15"/>
      <c r="AS293" s="15"/>
      <c r="AT293" s="15"/>
    </row>
    <row r="294">
      <c r="A294" s="21" t="s">
        <v>855</v>
      </c>
      <c r="B294" s="21" t="s">
        <v>856</v>
      </c>
      <c r="C294" s="23" t="s">
        <v>857</v>
      </c>
      <c r="D294" s="24" t="s">
        <v>858</v>
      </c>
      <c r="E294" s="18">
        <v>500.0</v>
      </c>
      <c r="F294" s="15" t="s">
        <v>836</v>
      </c>
      <c r="G294" s="14">
        <v>2026.0</v>
      </c>
      <c r="K294" s="14">
        <v>-2.7809</v>
      </c>
      <c r="L294" s="14">
        <v>121.823735</v>
      </c>
      <c r="M294" s="14" t="s">
        <v>859</v>
      </c>
      <c r="N294" s="21" t="s">
        <v>860</v>
      </c>
      <c r="O294" s="21" t="s">
        <v>88</v>
      </c>
      <c r="P294" s="14" t="s">
        <v>309</v>
      </c>
      <c r="Q294" s="14" t="s">
        <v>327</v>
      </c>
      <c r="R294" s="14" t="s">
        <v>328</v>
      </c>
      <c r="S294" s="14" t="s">
        <v>861</v>
      </c>
      <c r="T294" s="20" t="s">
        <v>862</v>
      </c>
      <c r="U294" s="21" t="s">
        <v>863</v>
      </c>
      <c r="AL294" s="21"/>
      <c r="AM294" s="21" t="s">
        <v>53</v>
      </c>
      <c r="AP294" s="15"/>
      <c r="AS294" s="15"/>
      <c r="AT294" s="15"/>
    </row>
    <row r="295">
      <c r="A295" s="15"/>
      <c r="B295" s="15"/>
      <c r="C295" s="16"/>
      <c r="D295" s="17"/>
      <c r="E295" s="18"/>
      <c r="F295" s="15"/>
      <c r="G295" s="18"/>
      <c r="J295" s="15"/>
      <c r="K295" s="18"/>
      <c r="L295" s="18"/>
      <c r="M295" s="15"/>
      <c r="N295" s="19"/>
      <c r="O295" s="15"/>
      <c r="P295" s="15"/>
      <c r="Q295" s="15"/>
      <c r="R295" s="15"/>
      <c r="S295" s="15"/>
      <c r="U295" s="15"/>
      <c r="V295" s="15"/>
      <c r="W295" s="15"/>
      <c r="Y295" s="15"/>
      <c r="AA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S295" s="15"/>
      <c r="AT295" s="15"/>
    </row>
    <row r="296">
      <c r="D296" s="48"/>
      <c r="E296" s="15"/>
      <c r="F296" s="15"/>
      <c r="T296" s="20"/>
    </row>
    <row r="297">
      <c r="D297" s="48"/>
      <c r="E297" s="15"/>
      <c r="F297" s="15"/>
      <c r="T297" s="20"/>
    </row>
    <row r="298">
      <c r="D298" s="48"/>
      <c r="E298" s="15"/>
      <c r="F298" s="15"/>
      <c r="T298" s="20"/>
    </row>
    <row r="299">
      <c r="D299" s="48"/>
      <c r="E299" s="15"/>
      <c r="F299" s="15"/>
      <c r="T299" s="20"/>
    </row>
    <row r="300">
      <c r="D300" s="48"/>
      <c r="E300" s="15"/>
      <c r="F300" s="15"/>
      <c r="T300" s="20"/>
    </row>
    <row r="301">
      <c r="D301" s="48"/>
      <c r="E301" s="15"/>
      <c r="F301" s="15"/>
      <c r="T301" s="20"/>
    </row>
    <row r="302">
      <c r="D302" s="48"/>
      <c r="E302" s="15"/>
      <c r="F302" s="15"/>
      <c r="T302" s="20"/>
    </row>
    <row r="303">
      <c r="D303" s="48"/>
      <c r="E303" s="15"/>
      <c r="F303" s="15"/>
      <c r="T303" s="20"/>
    </row>
    <row r="304">
      <c r="D304" s="48"/>
      <c r="E304" s="15"/>
      <c r="F304" s="15"/>
      <c r="T304" s="20"/>
    </row>
    <row r="305">
      <c r="D305" s="48"/>
      <c r="E305" s="15"/>
      <c r="F305" s="15"/>
      <c r="T305" s="20"/>
    </row>
    <row r="306">
      <c r="D306" s="48"/>
      <c r="E306" s="15"/>
      <c r="F306" s="15"/>
      <c r="T306" s="20"/>
    </row>
    <row r="307">
      <c r="D307" s="48"/>
      <c r="E307" s="15"/>
      <c r="F307" s="15"/>
      <c r="T307" s="20"/>
    </row>
    <row r="308">
      <c r="D308" s="48"/>
      <c r="E308" s="15"/>
      <c r="F308" s="15"/>
      <c r="T308" s="20"/>
    </row>
    <row r="309">
      <c r="D309" s="48"/>
      <c r="E309" s="15"/>
      <c r="F309" s="15"/>
      <c r="T309" s="20"/>
    </row>
    <row r="310">
      <c r="D310" s="48"/>
      <c r="E310" s="15"/>
      <c r="F310" s="15"/>
      <c r="T310" s="20"/>
    </row>
    <row r="311">
      <c r="D311" s="48"/>
      <c r="E311" s="15"/>
      <c r="F311" s="15"/>
      <c r="T311" s="20"/>
    </row>
    <row r="312">
      <c r="D312" s="48"/>
      <c r="E312" s="15"/>
      <c r="F312" s="15"/>
      <c r="T312" s="20"/>
    </row>
    <row r="313">
      <c r="D313" s="48"/>
      <c r="E313" s="15"/>
      <c r="F313" s="15"/>
      <c r="T313" s="20"/>
    </row>
    <row r="314">
      <c r="D314" s="48"/>
      <c r="E314" s="15"/>
      <c r="F314" s="15"/>
      <c r="T314" s="20"/>
    </row>
    <row r="315">
      <c r="D315" s="48"/>
      <c r="E315" s="15"/>
      <c r="F315" s="15"/>
      <c r="T315" s="20"/>
    </row>
    <row r="316">
      <c r="D316" s="48"/>
      <c r="E316" s="15"/>
      <c r="F316" s="15"/>
      <c r="T316" s="20"/>
    </row>
    <row r="317">
      <c r="D317" s="48"/>
      <c r="E317" s="15"/>
      <c r="F317" s="15"/>
      <c r="T317" s="20"/>
    </row>
    <row r="318">
      <c r="D318" s="48"/>
      <c r="E318" s="15"/>
      <c r="F318" s="15"/>
      <c r="T318" s="20"/>
    </row>
    <row r="319">
      <c r="D319" s="48"/>
      <c r="E319" s="15"/>
      <c r="F319" s="15"/>
      <c r="T319" s="20"/>
    </row>
    <row r="320">
      <c r="D320" s="48"/>
      <c r="E320" s="15"/>
      <c r="F320" s="15"/>
      <c r="T320" s="20"/>
    </row>
    <row r="321">
      <c r="D321" s="48"/>
      <c r="E321" s="15"/>
      <c r="F321" s="15"/>
      <c r="T321" s="20"/>
    </row>
    <row r="322">
      <c r="D322" s="48"/>
      <c r="E322" s="15"/>
      <c r="F322" s="15"/>
      <c r="T322" s="20"/>
    </row>
    <row r="323">
      <c r="D323" s="48"/>
      <c r="E323" s="15"/>
      <c r="F323" s="15"/>
      <c r="T323" s="20"/>
    </row>
    <row r="324">
      <c r="D324" s="48"/>
      <c r="E324" s="15"/>
      <c r="F324" s="15"/>
      <c r="T324" s="20"/>
    </row>
    <row r="325">
      <c r="D325" s="48"/>
      <c r="E325" s="15"/>
      <c r="F325" s="15"/>
      <c r="T325" s="20"/>
    </row>
    <row r="326">
      <c r="D326" s="48"/>
      <c r="E326" s="15"/>
      <c r="F326" s="15"/>
      <c r="T326" s="20"/>
    </row>
    <row r="327">
      <c r="D327" s="48"/>
      <c r="E327" s="15"/>
      <c r="F327" s="15"/>
      <c r="T327" s="20"/>
    </row>
    <row r="328">
      <c r="D328" s="48"/>
      <c r="E328" s="15"/>
      <c r="F328" s="15"/>
      <c r="T328" s="20"/>
    </row>
    <row r="329">
      <c r="D329" s="48"/>
      <c r="E329" s="15"/>
      <c r="F329" s="15"/>
      <c r="T329" s="20"/>
    </row>
    <row r="330">
      <c r="D330" s="48"/>
      <c r="E330" s="15"/>
      <c r="F330" s="15"/>
      <c r="T330" s="20"/>
    </row>
    <row r="331">
      <c r="D331" s="48"/>
      <c r="E331" s="15"/>
      <c r="F331" s="15"/>
      <c r="T331" s="20"/>
    </row>
    <row r="332">
      <c r="D332" s="48"/>
      <c r="E332" s="15"/>
      <c r="F332" s="15"/>
      <c r="T332" s="20"/>
    </row>
    <row r="333">
      <c r="D333" s="48"/>
      <c r="E333" s="15"/>
      <c r="F333" s="15"/>
      <c r="T333" s="20"/>
    </row>
    <row r="334">
      <c r="D334" s="48"/>
      <c r="E334" s="15"/>
      <c r="F334" s="15"/>
      <c r="T334" s="20"/>
    </row>
    <row r="335">
      <c r="D335" s="48"/>
      <c r="E335" s="15"/>
      <c r="F335" s="15"/>
      <c r="T335" s="20"/>
    </row>
    <row r="336">
      <c r="D336" s="48"/>
      <c r="E336" s="15"/>
      <c r="F336" s="15"/>
      <c r="T336" s="20"/>
    </row>
    <row r="337">
      <c r="D337" s="48"/>
      <c r="E337" s="15"/>
      <c r="F337" s="15"/>
      <c r="T337" s="20"/>
    </row>
    <row r="338">
      <c r="D338" s="48"/>
      <c r="E338" s="15"/>
      <c r="F338" s="15"/>
      <c r="T338" s="20"/>
    </row>
    <row r="339">
      <c r="D339" s="48"/>
      <c r="E339" s="15"/>
      <c r="F339" s="15"/>
      <c r="T339" s="20"/>
    </row>
    <row r="340">
      <c r="D340" s="48"/>
      <c r="E340" s="15"/>
      <c r="F340" s="15"/>
      <c r="T340" s="20"/>
    </row>
    <row r="341">
      <c r="D341" s="48"/>
      <c r="E341" s="15"/>
      <c r="F341" s="15"/>
      <c r="T341" s="20"/>
    </row>
    <row r="342">
      <c r="D342" s="48"/>
      <c r="E342" s="15"/>
      <c r="F342" s="15"/>
      <c r="T342" s="20"/>
    </row>
    <row r="343">
      <c r="D343" s="48"/>
      <c r="E343" s="15"/>
      <c r="F343" s="15"/>
      <c r="T343" s="20"/>
    </row>
    <row r="344">
      <c r="D344" s="48"/>
      <c r="E344" s="15"/>
      <c r="F344" s="15"/>
      <c r="T344" s="20"/>
    </row>
    <row r="345">
      <c r="D345" s="48"/>
      <c r="E345" s="15"/>
      <c r="F345" s="15"/>
      <c r="T345" s="20"/>
    </row>
    <row r="346">
      <c r="D346" s="48"/>
      <c r="E346" s="15"/>
      <c r="F346" s="15"/>
      <c r="T346" s="20"/>
    </row>
    <row r="347">
      <c r="D347" s="48"/>
      <c r="E347" s="15"/>
      <c r="F347" s="15"/>
      <c r="T347" s="20"/>
    </row>
    <row r="348">
      <c r="D348" s="48"/>
      <c r="E348" s="15"/>
      <c r="F348" s="15"/>
      <c r="T348" s="20"/>
    </row>
    <row r="349">
      <c r="D349" s="48"/>
      <c r="E349" s="15"/>
      <c r="F349" s="15"/>
      <c r="T349" s="20"/>
    </row>
    <row r="350">
      <c r="D350" s="48"/>
      <c r="E350" s="15"/>
      <c r="F350" s="15"/>
      <c r="T350" s="20"/>
    </row>
    <row r="351">
      <c r="D351" s="48"/>
      <c r="E351" s="15"/>
      <c r="F351" s="15"/>
      <c r="T351" s="20"/>
    </row>
    <row r="352">
      <c r="D352" s="48"/>
      <c r="E352" s="15"/>
      <c r="F352" s="15"/>
      <c r="T352" s="20"/>
    </row>
    <row r="353">
      <c r="D353" s="48"/>
      <c r="E353" s="15"/>
      <c r="F353" s="15"/>
      <c r="T353" s="20"/>
    </row>
    <row r="354">
      <c r="D354" s="48"/>
      <c r="E354" s="15"/>
      <c r="F354" s="15"/>
      <c r="T354" s="20"/>
    </row>
    <row r="355">
      <c r="D355" s="48"/>
      <c r="E355" s="15"/>
      <c r="F355" s="15"/>
      <c r="T355" s="20"/>
    </row>
    <row r="356">
      <c r="D356" s="48"/>
      <c r="E356" s="15"/>
      <c r="F356" s="15"/>
      <c r="T356" s="20"/>
    </row>
    <row r="357">
      <c r="D357" s="48"/>
      <c r="E357" s="15"/>
      <c r="F357" s="15"/>
      <c r="T357" s="20"/>
    </row>
    <row r="358">
      <c r="D358" s="48"/>
      <c r="E358" s="15"/>
      <c r="F358" s="15"/>
      <c r="T358" s="20"/>
    </row>
    <row r="359">
      <c r="D359" s="48"/>
      <c r="E359" s="15"/>
      <c r="F359" s="15"/>
      <c r="T359" s="20"/>
    </row>
    <row r="360">
      <c r="D360" s="48"/>
      <c r="E360" s="15"/>
      <c r="F360" s="15"/>
      <c r="T360" s="20"/>
    </row>
    <row r="361">
      <c r="D361" s="48"/>
      <c r="E361" s="15"/>
      <c r="F361" s="15"/>
      <c r="T361" s="20"/>
    </row>
    <row r="362">
      <c r="D362" s="48"/>
      <c r="E362" s="15"/>
      <c r="F362" s="15"/>
      <c r="T362" s="20"/>
    </row>
    <row r="363">
      <c r="D363" s="48"/>
      <c r="E363" s="15"/>
      <c r="F363" s="15"/>
      <c r="T363" s="20"/>
    </row>
    <row r="364">
      <c r="D364" s="48"/>
      <c r="E364" s="15"/>
      <c r="F364" s="15"/>
      <c r="T364" s="20"/>
    </row>
    <row r="365">
      <c r="D365" s="48"/>
      <c r="E365" s="15"/>
      <c r="F365" s="15"/>
      <c r="T365" s="20"/>
    </row>
    <row r="366">
      <c r="D366" s="48"/>
      <c r="E366" s="15"/>
      <c r="F366" s="15"/>
      <c r="T366" s="20"/>
    </row>
    <row r="367">
      <c r="D367" s="48"/>
      <c r="E367" s="15"/>
      <c r="F367" s="15"/>
      <c r="T367" s="20"/>
    </row>
    <row r="368">
      <c r="D368" s="48"/>
      <c r="E368" s="15"/>
      <c r="F368" s="15"/>
      <c r="T368" s="20"/>
    </row>
    <row r="369">
      <c r="D369" s="48"/>
      <c r="E369" s="15"/>
      <c r="F369" s="15"/>
      <c r="T369" s="20"/>
    </row>
    <row r="370">
      <c r="D370" s="48"/>
      <c r="E370" s="15"/>
      <c r="F370" s="15"/>
      <c r="T370" s="20"/>
    </row>
    <row r="371">
      <c r="D371" s="48"/>
      <c r="E371" s="15"/>
      <c r="F371" s="15"/>
      <c r="T371" s="20"/>
    </row>
    <row r="372">
      <c r="D372" s="48"/>
      <c r="E372" s="15"/>
      <c r="F372" s="15"/>
      <c r="T372" s="20"/>
    </row>
    <row r="373">
      <c r="D373" s="48"/>
      <c r="E373" s="15"/>
      <c r="F373" s="15"/>
      <c r="T373" s="20"/>
    </row>
    <row r="374">
      <c r="D374" s="48"/>
      <c r="E374" s="15"/>
      <c r="F374" s="15"/>
      <c r="T374" s="20"/>
    </row>
    <row r="375">
      <c r="D375" s="48"/>
      <c r="E375" s="15"/>
      <c r="F375" s="15"/>
      <c r="T375" s="20"/>
    </row>
    <row r="376">
      <c r="D376" s="48"/>
      <c r="E376" s="15"/>
      <c r="F376" s="15"/>
      <c r="T376" s="20"/>
    </row>
    <row r="377">
      <c r="D377" s="48"/>
      <c r="E377" s="15"/>
      <c r="F377" s="15"/>
      <c r="T377" s="20"/>
    </row>
    <row r="378">
      <c r="D378" s="48"/>
      <c r="E378" s="15"/>
      <c r="F378" s="15"/>
      <c r="T378" s="20"/>
    </row>
    <row r="379">
      <c r="D379" s="48"/>
      <c r="E379" s="15"/>
      <c r="F379" s="15"/>
      <c r="T379" s="20"/>
    </row>
    <row r="380">
      <c r="D380" s="48"/>
      <c r="E380" s="15"/>
      <c r="F380" s="15"/>
      <c r="T380" s="20"/>
    </row>
    <row r="381">
      <c r="D381" s="48"/>
      <c r="E381" s="15"/>
      <c r="F381" s="15"/>
      <c r="T381" s="20"/>
    </row>
    <row r="382">
      <c r="D382" s="48"/>
      <c r="E382" s="15"/>
      <c r="F382" s="15"/>
      <c r="T382" s="20"/>
    </row>
    <row r="383">
      <c r="D383" s="48"/>
      <c r="E383" s="15"/>
      <c r="F383" s="15"/>
      <c r="T383" s="20"/>
    </row>
    <row r="384">
      <c r="D384" s="48"/>
      <c r="E384" s="15"/>
      <c r="F384" s="15"/>
      <c r="T384" s="20"/>
    </row>
    <row r="385">
      <c r="D385" s="48"/>
      <c r="E385" s="15"/>
      <c r="F385" s="15"/>
      <c r="T385" s="20"/>
    </row>
    <row r="386">
      <c r="D386" s="48"/>
      <c r="E386" s="15"/>
      <c r="F386" s="15"/>
      <c r="T386" s="20"/>
    </row>
    <row r="387">
      <c r="D387" s="48"/>
      <c r="E387" s="15"/>
      <c r="F387" s="15"/>
      <c r="T387" s="20"/>
    </row>
    <row r="388">
      <c r="D388" s="48"/>
      <c r="E388" s="15"/>
      <c r="F388" s="15"/>
      <c r="T388" s="20"/>
    </row>
    <row r="389">
      <c r="D389" s="48"/>
      <c r="E389" s="15"/>
      <c r="F389" s="15"/>
      <c r="T389" s="20"/>
    </row>
    <row r="390">
      <c r="D390" s="48"/>
      <c r="E390" s="15"/>
      <c r="F390" s="15"/>
      <c r="T390" s="20"/>
    </row>
    <row r="391">
      <c r="D391" s="48"/>
      <c r="E391" s="15"/>
      <c r="F391" s="15"/>
      <c r="T391" s="20"/>
    </row>
    <row r="392">
      <c r="D392" s="48"/>
      <c r="E392" s="15"/>
      <c r="F392" s="15"/>
      <c r="T392" s="20"/>
    </row>
    <row r="393">
      <c r="D393" s="48"/>
      <c r="E393" s="15"/>
      <c r="F393" s="15"/>
      <c r="T393" s="20"/>
    </row>
    <row r="394">
      <c r="D394" s="48"/>
      <c r="E394" s="15"/>
      <c r="F394" s="15"/>
      <c r="T394" s="20"/>
    </row>
    <row r="395">
      <c r="D395" s="48"/>
      <c r="E395" s="15"/>
      <c r="F395" s="15"/>
      <c r="T395" s="20"/>
    </row>
    <row r="396">
      <c r="D396" s="48"/>
      <c r="E396" s="15"/>
      <c r="F396" s="15"/>
      <c r="T396" s="20"/>
    </row>
    <row r="397">
      <c r="D397" s="48"/>
      <c r="E397" s="15"/>
      <c r="F397" s="15"/>
      <c r="T397" s="20"/>
    </row>
    <row r="398">
      <c r="D398" s="48"/>
      <c r="E398" s="15"/>
      <c r="F398" s="15"/>
      <c r="T398" s="20"/>
    </row>
    <row r="399">
      <c r="D399" s="48"/>
      <c r="E399" s="15"/>
      <c r="F399" s="15"/>
      <c r="T399" s="20"/>
    </row>
    <row r="400">
      <c r="D400" s="48"/>
      <c r="E400" s="15"/>
      <c r="F400" s="15"/>
      <c r="T400" s="20"/>
    </row>
    <row r="401">
      <c r="D401" s="48"/>
      <c r="E401" s="15"/>
      <c r="F401" s="15"/>
      <c r="T401" s="20"/>
    </row>
    <row r="402">
      <c r="D402" s="48"/>
      <c r="E402" s="15"/>
      <c r="F402" s="15"/>
      <c r="T402" s="20"/>
    </row>
    <row r="403">
      <c r="D403" s="48"/>
      <c r="E403" s="15"/>
      <c r="F403" s="15"/>
      <c r="T403" s="20"/>
    </row>
    <row r="404">
      <c r="D404" s="48"/>
      <c r="E404" s="15"/>
      <c r="F404" s="15"/>
      <c r="T404" s="20"/>
    </row>
    <row r="405">
      <c r="D405" s="48"/>
      <c r="E405" s="15"/>
      <c r="F405" s="15"/>
      <c r="T405" s="20"/>
    </row>
    <row r="406">
      <c r="D406" s="48"/>
      <c r="E406" s="15"/>
      <c r="F406" s="15"/>
      <c r="T406" s="20"/>
    </row>
    <row r="407">
      <c r="D407" s="48"/>
      <c r="E407" s="15"/>
      <c r="F407" s="15"/>
      <c r="T407" s="20"/>
    </row>
    <row r="408">
      <c r="D408" s="48"/>
      <c r="E408" s="15"/>
      <c r="F408" s="15"/>
      <c r="T408" s="20"/>
    </row>
    <row r="409">
      <c r="D409" s="48"/>
      <c r="E409" s="15"/>
      <c r="F409" s="15"/>
      <c r="T409" s="20"/>
    </row>
    <row r="410">
      <c r="D410" s="48"/>
      <c r="E410" s="15"/>
      <c r="F410" s="15"/>
      <c r="T410" s="20"/>
    </row>
    <row r="411">
      <c r="D411" s="48"/>
      <c r="E411" s="15"/>
      <c r="F411" s="15"/>
      <c r="T411" s="20"/>
    </row>
    <row r="412">
      <c r="D412" s="48"/>
      <c r="E412" s="15"/>
      <c r="F412" s="15"/>
      <c r="T412" s="20"/>
    </row>
    <row r="413">
      <c r="D413" s="48"/>
      <c r="E413" s="15"/>
      <c r="F413" s="15"/>
      <c r="T413" s="20"/>
    </row>
    <row r="414">
      <c r="D414" s="48"/>
      <c r="E414" s="15"/>
      <c r="F414" s="15"/>
      <c r="T414" s="20"/>
    </row>
    <row r="415">
      <c r="D415" s="48"/>
      <c r="E415" s="15"/>
      <c r="F415" s="15"/>
      <c r="T415" s="20"/>
    </row>
    <row r="416">
      <c r="D416" s="48"/>
      <c r="E416" s="15"/>
      <c r="F416" s="15"/>
      <c r="T416" s="20"/>
    </row>
    <row r="417">
      <c r="D417" s="48"/>
      <c r="E417" s="15"/>
      <c r="F417" s="15"/>
      <c r="T417" s="20"/>
    </row>
    <row r="418">
      <c r="D418" s="48"/>
      <c r="E418" s="15"/>
      <c r="F418" s="15"/>
      <c r="T418" s="20"/>
    </row>
    <row r="419">
      <c r="D419" s="48"/>
      <c r="E419" s="15"/>
      <c r="F419" s="15"/>
      <c r="T419" s="20"/>
    </row>
    <row r="420">
      <c r="D420" s="48"/>
      <c r="E420" s="15"/>
      <c r="F420" s="15"/>
      <c r="T420" s="20"/>
    </row>
    <row r="421">
      <c r="D421" s="48"/>
      <c r="E421" s="15"/>
      <c r="F421" s="15"/>
      <c r="T421" s="20"/>
    </row>
    <row r="422">
      <c r="D422" s="48"/>
      <c r="E422" s="15"/>
      <c r="F422" s="15"/>
      <c r="T422" s="20"/>
    </row>
    <row r="423">
      <c r="D423" s="48"/>
      <c r="E423" s="15"/>
      <c r="F423" s="15"/>
      <c r="T423" s="20"/>
    </row>
    <row r="424">
      <c r="D424" s="48"/>
      <c r="E424" s="15"/>
      <c r="F424" s="15"/>
      <c r="T424" s="20"/>
    </row>
    <row r="425">
      <c r="D425" s="48"/>
      <c r="E425" s="15"/>
      <c r="F425" s="15"/>
      <c r="T425" s="20"/>
    </row>
    <row r="426">
      <c r="D426" s="48"/>
      <c r="E426" s="15"/>
      <c r="F426" s="15"/>
      <c r="T426" s="20"/>
    </row>
    <row r="427">
      <c r="D427" s="48"/>
      <c r="E427" s="15"/>
      <c r="F427" s="15"/>
      <c r="T427" s="20"/>
    </row>
    <row r="428">
      <c r="D428" s="48"/>
      <c r="E428" s="15"/>
      <c r="F428" s="15"/>
      <c r="T428" s="20"/>
    </row>
    <row r="429">
      <c r="D429" s="48"/>
      <c r="E429" s="15"/>
      <c r="F429" s="15"/>
      <c r="T429" s="20"/>
    </row>
    <row r="430">
      <c r="D430" s="48"/>
      <c r="E430" s="15"/>
      <c r="F430" s="15"/>
      <c r="T430" s="20"/>
    </row>
    <row r="431">
      <c r="D431" s="48"/>
      <c r="E431" s="15"/>
      <c r="F431" s="15"/>
      <c r="T431" s="20"/>
    </row>
    <row r="432">
      <c r="D432" s="48"/>
      <c r="E432" s="15"/>
      <c r="F432" s="15"/>
      <c r="T432" s="20"/>
    </row>
    <row r="433">
      <c r="D433" s="48"/>
      <c r="E433" s="15"/>
      <c r="F433" s="15"/>
      <c r="T433" s="20"/>
    </row>
    <row r="434">
      <c r="D434" s="48"/>
      <c r="E434" s="15"/>
      <c r="F434" s="15"/>
      <c r="T434" s="20"/>
    </row>
    <row r="435">
      <c r="D435" s="48"/>
      <c r="E435" s="15"/>
      <c r="F435" s="15"/>
      <c r="T435" s="20"/>
    </row>
    <row r="436">
      <c r="D436" s="48"/>
      <c r="E436" s="15"/>
      <c r="F436" s="15"/>
      <c r="T436" s="20"/>
    </row>
    <row r="437">
      <c r="D437" s="48"/>
      <c r="E437" s="15"/>
      <c r="F437" s="15"/>
      <c r="T437" s="20"/>
    </row>
    <row r="438">
      <c r="D438" s="48"/>
      <c r="E438" s="15"/>
      <c r="F438" s="15"/>
      <c r="T438" s="20"/>
    </row>
    <row r="439">
      <c r="D439" s="48"/>
      <c r="E439" s="15"/>
      <c r="F439" s="15"/>
      <c r="T439" s="20"/>
    </row>
    <row r="440">
      <c r="D440" s="48"/>
      <c r="E440" s="15"/>
      <c r="F440" s="15"/>
      <c r="T440" s="20"/>
    </row>
    <row r="441">
      <c r="D441" s="48"/>
      <c r="E441" s="15"/>
      <c r="F441" s="15"/>
      <c r="T441" s="20"/>
    </row>
    <row r="442">
      <c r="D442" s="48"/>
      <c r="E442" s="15"/>
      <c r="F442" s="15"/>
      <c r="T442" s="20"/>
    </row>
    <row r="443">
      <c r="D443" s="48"/>
      <c r="E443" s="15"/>
      <c r="F443" s="15"/>
      <c r="T443" s="20"/>
    </row>
    <row r="444">
      <c r="D444" s="48"/>
      <c r="E444" s="15"/>
      <c r="F444" s="15"/>
      <c r="T444" s="20"/>
    </row>
    <row r="445">
      <c r="D445" s="48"/>
      <c r="E445" s="15"/>
      <c r="F445" s="15"/>
      <c r="T445" s="20"/>
    </row>
    <row r="446">
      <c r="D446" s="48"/>
      <c r="E446" s="15"/>
      <c r="F446" s="15"/>
      <c r="T446" s="20"/>
    </row>
    <row r="447">
      <c r="D447" s="48"/>
      <c r="E447" s="15"/>
      <c r="F447" s="15"/>
      <c r="T447" s="20"/>
    </row>
    <row r="448">
      <c r="D448" s="48"/>
      <c r="E448" s="15"/>
      <c r="F448" s="15"/>
      <c r="T448" s="20"/>
    </row>
    <row r="449">
      <c r="D449" s="48"/>
      <c r="E449" s="15"/>
      <c r="F449" s="15"/>
      <c r="T449" s="20"/>
    </row>
    <row r="450">
      <c r="D450" s="48"/>
      <c r="E450" s="15"/>
      <c r="F450" s="15"/>
      <c r="T450" s="20"/>
    </row>
    <row r="451">
      <c r="D451" s="48"/>
      <c r="E451" s="15"/>
      <c r="F451" s="15"/>
      <c r="T451" s="20"/>
    </row>
    <row r="452">
      <c r="D452" s="48"/>
      <c r="E452" s="15"/>
      <c r="F452" s="15"/>
      <c r="T452" s="20"/>
    </row>
    <row r="453">
      <c r="D453" s="48"/>
      <c r="E453" s="15"/>
      <c r="F453" s="15"/>
      <c r="T453" s="20"/>
    </row>
    <row r="454">
      <c r="D454" s="48"/>
      <c r="E454" s="15"/>
      <c r="F454" s="15"/>
      <c r="T454" s="20"/>
    </row>
    <row r="455">
      <c r="D455" s="48"/>
      <c r="E455" s="15"/>
      <c r="F455" s="15"/>
      <c r="T455" s="20"/>
    </row>
    <row r="456">
      <c r="D456" s="48"/>
      <c r="E456" s="15"/>
      <c r="F456" s="15"/>
      <c r="T456" s="20"/>
    </row>
    <row r="457">
      <c r="D457" s="48"/>
      <c r="E457" s="15"/>
      <c r="F457" s="15"/>
      <c r="T457" s="20"/>
    </row>
    <row r="458">
      <c r="D458" s="48"/>
      <c r="E458" s="15"/>
      <c r="F458" s="15"/>
      <c r="T458" s="20"/>
    </row>
    <row r="459">
      <c r="D459" s="48"/>
      <c r="E459" s="15"/>
      <c r="F459" s="15"/>
      <c r="T459" s="20"/>
    </row>
    <row r="460">
      <c r="D460" s="48"/>
      <c r="E460" s="15"/>
      <c r="F460" s="15"/>
      <c r="T460" s="20"/>
    </row>
    <row r="461">
      <c r="D461" s="48"/>
      <c r="E461" s="15"/>
      <c r="F461" s="15"/>
      <c r="T461" s="20"/>
    </row>
    <row r="462">
      <c r="D462" s="48"/>
      <c r="E462" s="15"/>
      <c r="F462" s="15"/>
      <c r="T462" s="20"/>
    </row>
    <row r="463">
      <c r="D463" s="48"/>
      <c r="E463" s="15"/>
      <c r="F463" s="15"/>
      <c r="T463" s="20"/>
    </row>
    <row r="464">
      <c r="D464" s="48"/>
      <c r="E464" s="15"/>
      <c r="F464" s="15"/>
      <c r="T464" s="20"/>
    </row>
    <row r="465">
      <c r="D465" s="48"/>
      <c r="E465" s="15"/>
      <c r="F465" s="15"/>
      <c r="T465" s="20"/>
    </row>
    <row r="466">
      <c r="D466" s="48"/>
      <c r="E466" s="15"/>
      <c r="F466" s="15"/>
      <c r="T466" s="20"/>
    </row>
    <row r="467">
      <c r="D467" s="48"/>
      <c r="E467" s="15"/>
      <c r="F467" s="15"/>
      <c r="T467" s="20"/>
    </row>
    <row r="468">
      <c r="D468" s="48"/>
      <c r="E468" s="15"/>
      <c r="F468" s="15"/>
      <c r="T468" s="20"/>
    </row>
    <row r="469">
      <c r="D469" s="48"/>
      <c r="E469" s="15"/>
      <c r="F469" s="15"/>
      <c r="T469" s="20"/>
    </row>
    <row r="470">
      <c r="D470" s="48"/>
      <c r="E470" s="15"/>
      <c r="F470" s="15"/>
      <c r="T470" s="20"/>
    </row>
    <row r="471">
      <c r="D471" s="48"/>
      <c r="E471" s="15"/>
      <c r="F471" s="15"/>
      <c r="T471" s="20"/>
    </row>
    <row r="472">
      <c r="D472" s="48"/>
      <c r="E472" s="15"/>
      <c r="F472" s="15"/>
      <c r="T472" s="20"/>
    </row>
    <row r="473">
      <c r="D473" s="48"/>
      <c r="E473" s="15"/>
      <c r="F473" s="15"/>
      <c r="T473" s="20"/>
    </row>
    <row r="474">
      <c r="D474" s="48"/>
      <c r="E474" s="15"/>
      <c r="F474" s="15"/>
      <c r="T474" s="20"/>
    </row>
    <row r="475">
      <c r="D475" s="48"/>
      <c r="E475" s="15"/>
      <c r="F475" s="15"/>
      <c r="T475" s="20"/>
    </row>
    <row r="476">
      <c r="D476" s="48"/>
      <c r="E476" s="15"/>
      <c r="F476" s="15"/>
      <c r="T476" s="20"/>
    </row>
    <row r="477">
      <c r="D477" s="48"/>
      <c r="E477" s="15"/>
      <c r="F477" s="15"/>
      <c r="T477" s="20"/>
    </row>
    <row r="478">
      <c r="D478" s="48"/>
      <c r="E478" s="15"/>
      <c r="F478" s="15"/>
      <c r="T478" s="20"/>
    </row>
    <row r="479">
      <c r="D479" s="48"/>
      <c r="E479" s="15"/>
      <c r="F479" s="15"/>
      <c r="T479" s="20"/>
    </row>
    <row r="480">
      <c r="D480" s="48"/>
      <c r="E480" s="15"/>
      <c r="F480" s="15"/>
      <c r="T480" s="20"/>
    </row>
    <row r="481">
      <c r="D481" s="48"/>
      <c r="E481" s="15"/>
      <c r="F481" s="15"/>
      <c r="T481" s="20"/>
    </row>
    <row r="482">
      <c r="D482" s="48"/>
      <c r="E482" s="15"/>
      <c r="F482" s="15"/>
      <c r="T482" s="20"/>
    </row>
    <row r="483">
      <c r="D483" s="48"/>
      <c r="E483" s="15"/>
      <c r="F483" s="15"/>
      <c r="T483" s="20"/>
    </row>
    <row r="484">
      <c r="D484" s="48"/>
      <c r="E484" s="15"/>
      <c r="F484" s="15"/>
      <c r="T484" s="20"/>
    </row>
    <row r="485">
      <c r="D485" s="48"/>
      <c r="E485" s="15"/>
      <c r="F485" s="15"/>
      <c r="T485" s="20"/>
    </row>
    <row r="486">
      <c r="D486" s="48"/>
      <c r="E486" s="15"/>
      <c r="F486" s="15"/>
      <c r="T486" s="20"/>
    </row>
    <row r="487">
      <c r="D487" s="48"/>
      <c r="E487" s="15"/>
      <c r="F487" s="15"/>
      <c r="T487" s="20"/>
    </row>
    <row r="488">
      <c r="D488" s="48"/>
      <c r="E488" s="15"/>
      <c r="F488" s="15"/>
      <c r="T488" s="20"/>
    </row>
    <row r="489">
      <c r="D489" s="48"/>
      <c r="E489" s="15"/>
      <c r="F489" s="15"/>
      <c r="T489" s="20"/>
    </row>
    <row r="490">
      <c r="D490" s="48"/>
      <c r="E490" s="15"/>
      <c r="F490" s="15"/>
      <c r="T490" s="20"/>
    </row>
    <row r="491">
      <c r="D491" s="48"/>
      <c r="E491" s="15"/>
      <c r="F491" s="15"/>
      <c r="T491" s="20"/>
    </row>
    <row r="492">
      <c r="D492" s="48"/>
      <c r="E492" s="15"/>
      <c r="F492" s="15"/>
      <c r="T492" s="20"/>
    </row>
    <row r="493">
      <c r="D493" s="48"/>
      <c r="E493" s="15"/>
      <c r="F493" s="15"/>
      <c r="T493" s="20"/>
    </row>
    <row r="494">
      <c r="D494" s="48"/>
      <c r="E494" s="15"/>
      <c r="F494" s="15"/>
      <c r="T494" s="20"/>
    </row>
    <row r="495">
      <c r="D495" s="48"/>
      <c r="E495" s="15"/>
      <c r="F495" s="15"/>
      <c r="T495" s="20"/>
    </row>
    <row r="496">
      <c r="D496" s="48"/>
      <c r="E496" s="15"/>
      <c r="F496" s="15"/>
      <c r="T496" s="20"/>
    </row>
    <row r="497">
      <c r="D497" s="48"/>
      <c r="E497" s="15"/>
      <c r="F497" s="15"/>
      <c r="T497" s="20"/>
    </row>
    <row r="498">
      <c r="D498" s="48"/>
      <c r="E498" s="15"/>
      <c r="F498" s="15"/>
      <c r="T498" s="20"/>
    </row>
    <row r="499">
      <c r="D499" s="48"/>
      <c r="E499" s="15"/>
      <c r="F499" s="15"/>
      <c r="T499" s="20"/>
    </row>
    <row r="500">
      <c r="D500" s="48"/>
      <c r="E500" s="15"/>
      <c r="F500" s="15"/>
      <c r="T500" s="20"/>
    </row>
    <row r="501">
      <c r="D501" s="48"/>
      <c r="E501" s="15"/>
      <c r="F501" s="15"/>
      <c r="T501" s="20"/>
    </row>
    <row r="502">
      <c r="D502" s="48"/>
      <c r="E502" s="15"/>
      <c r="F502" s="15"/>
      <c r="T502" s="20"/>
    </row>
    <row r="503">
      <c r="D503" s="48"/>
      <c r="E503" s="15"/>
      <c r="F503" s="15"/>
      <c r="T503" s="20"/>
    </row>
    <row r="504">
      <c r="D504" s="48"/>
      <c r="E504" s="15"/>
      <c r="F504" s="15"/>
      <c r="T504" s="20"/>
    </row>
    <row r="505">
      <c r="D505" s="48"/>
      <c r="E505" s="15"/>
      <c r="F505" s="15"/>
      <c r="T505" s="20"/>
    </row>
    <row r="506">
      <c r="D506" s="48"/>
      <c r="E506" s="15"/>
      <c r="F506" s="15"/>
      <c r="T506" s="20"/>
    </row>
    <row r="507">
      <c r="D507" s="48"/>
      <c r="E507" s="15"/>
      <c r="F507" s="15"/>
      <c r="T507" s="20"/>
    </row>
    <row r="508">
      <c r="D508" s="48"/>
      <c r="E508" s="15"/>
      <c r="F508" s="15"/>
      <c r="T508" s="20"/>
    </row>
    <row r="509">
      <c r="D509" s="48"/>
      <c r="E509" s="15"/>
      <c r="F509" s="15"/>
      <c r="T509" s="20"/>
    </row>
    <row r="510">
      <c r="D510" s="48"/>
      <c r="E510" s="15"/>
      <c r="F510" s="15"/>
      <c r="T510" s="20"/>
    </row>
    <row r="511">
      <c r="D511" s="48"/>
      <c r="E511" s="15"/>
      <c r="F511" s="15"/>
      <c r="T511" s="20"/>
    </row>
    <row r="512">
      <c r="D512" s="48"/>
      <c r="E512" s="15"/>
      <c r="F512" s="15"/>
      <c r="T512" s="20"/>
    </row>
    <row r="513">
      <c r="D513" s="48"/>
      <c r="E513" s="15"/>
      <c r="F513" s="15"/>
      <c r="T513" s="20"/>
    </row>
    <row r="514">
      <c r="D514" s="48"/>
      <c r="E514" s="15"/>
      <c r="F514" s="15"/>
      <c r="T514" s="20"/>
    </row>
    <row r="515">
      <c r="D515" s="48"/>
      <c r="E515" s="15"/>
      <c r="F515" s="15"/>
      <c r="T515" s="20"/>
    </row>
    <row r="516">
      <c r="D516" s="48"/>
      <c r="E516" s="15"/>
      <c r="F516" s="15"/>
      <c r="T516" s="20"/>
    </row>
    <row r="517">
      <c r="D517" s="48"/>
      <c r="E517" s="15"/>
      <c r="F517" s="15"/>
      <c r="T517" s="20"/>
    </row>
    <row r="518">
      <c r="D518" s="48"/>
      <c r="E518" s="15"/>
      <c r="F518" s="15"/>
      <c r="T518" s="20"/>
    </row>
    <row r="519">
      <c r="D519" s="48"/>
      <c r="E519" s="15"/>
      <c r="F519" s="15"/>
      <c r="T519" s="20"/>
    </row>
    <row r="520">
      <c r="D520" s="48"/>
      <c r="E520" s="15"/>
      <c r="F520" s="15"/>
      <c r="T520" s="20"/>
    </row>
    <row r="521">
      <c r="D521" s="48"/>
      <c r="E521" s="15"/>
      <c r="F521" s="15"/>
      <c r="T521" s="20"/>
    </row>
    <row r="522">
      <c r="D522" s="48"/>
      <c r="E522" s="15"/>
      <c r="F522" s="15"/>
      <c r="T522" s="20"/>
    </row>
    <row r="523">
      <c r="D523" s="48"/>
      <c r="E523" s="15"/>
      <c r="F523" s="15"/>
      <c r="T523" s="20"/>
    </row>
    <row r="524">
      <c r="D524" s="48"/>
      <c r="E524" s="15"/>
      <c r="F524" s="15"/>
      <c r="T524" s="20"/>
    </row>
    <row r="525">
      <c r="D525" s="48"/>
      <c r="E525" s="15"/>
      <c r="F525" s="15"/>
      <c r="T525" s="20"/>
    </row>
    <row r="526">
      <c r="D526" s="48"/>
      <c r="E526" s="15"/>
      <c r="F526" s="15"/>
      <c r="T526" s="20"/>
    </row>
    <row r="527">
      <c r="D527" s="48"/>
      <c r="E527" s="15"/>
      <c r="F527" s="15"/>
      <c r="T527" s="20"/>
    </row>
    <row r="528">
      <c r="D528" s="48"/>
      <c r="E528" s="15"/>
      <c r="F528" s="15"/>
      <c r="T528" s="20"/>
    </row>
    <row r="529">
      <c r="D529" s="48"/>
      <c r="E529" s="15"/>
      <c r="F529" s="15"/>
      <c r="T529" s="20"/>
    </row>
    <row r="530">
      <c r="D530" s="48"/>
      <c r="E530" s="15"/>
      <c r="F530" s="15"/>
      <c r="T530" s="20"/>
    </row>
    <row r="531">
      <c r="D531" s="48"/>
      <c r="E531" s="15"/>
      <c r="F531" s="15"/>
      <c r="T531" s="20"/>
    </row>
    <row r="532">
      <c r="D532" s="48"/>
      <c r="E532" s="15"/>
      <c r="F532" s="15"/>
      <c r="T532" s="20"/>
    </row>
    <row r="533">
      <c r="D533" s="48"/>
      <c r="E533" s="15"/>
      <c r="F533" s="15"/>
      <c r="T533" s="20"/>
    </row>
    <row r="534">
      <c r="D534" s="48"/>
      <c r="E534" s="15"/>
      <c r="F534" s="15"/>
      <c r="T534" s="20"/>
    </row>
    <row r="535">
      <c r="D535" s="48"/>
      <c r="E535" s="15"/>
      <c r="F535" s="15"/>
      <c r="T535" s="20"/>
    </row>
    <row r="536">
      <c r="D536" s="48"/>
      <c r="E536" s="15"/>
      <c r="F536" s="15"/>
      <c r="T536" s="20"/>
    </row>
    <row r="537">
      <c r="D537" s="48"/>
      <c r="E537" s="15"/>
      <c r="F537" s="15"/>
      <c r="T537" s="20"/>
    </row>
    <row r="538">
      <c r="D538" s="48"/>
      <c r="E538" s="15"/>
      <c r="F538" s="15"/>
      <c r="T538" s="20"/>
    </row>
    <row r="539">
      <c r="D539" s="48"/>
      <c r="E539" s="15"/>
      <c r="F539" s="15"/>
      <c r="T539" s="20"/>
    </row>
    <row r="540">
      <c r="D540" s="48"/>
      <c r="E540" s="15"/>
      <c r="F540" s="15"/>
      <c r="T540" s="20"/>
    </row>
    <row r="541">
      <c r="D541" s="48"/>
      <c r="E541" s="15"/>
      <c r="F541" s="15"/>
      <c r="T541" s="20"/>
    </row>
    <row r="542">
      <c r="D542" s="48"/>
      <c r="E542" s="15"/>
      <c r="F542" s="15"/>
      <c r="T542" s="20"/>
    </row>
    <row r="543">
      <c r="D543" s="48"/>
      <c r="E543" s="15"/>
      <c r="F543" s="15"/>
      <c r="T543" s="20"/>
    </row>
    <row r="544">
      <c r="D544" s="48"/>
      <c r="E544" s="15"/>
      <c r="F544" s="15"/>
      <c r="T544" s="20"/>
    </row>
    <row r="545">
      <c r="D545" s="48"/>
      <c r="E545" s="15"/>
      <c r="F545" s="15"/>
      <c r="T545" s="20"/>
    </row>
    <row r="546">
      <c r="D546" s="48"/>
      <c r="E546" s="15"/>
      <c r="F546" s="15"/>
      <c r="T546" s="20"/>
    </row>
    <row r="547">
      <c r="D547" s="48"/>
      <c r="E547" s="15"/>
      <c r="F547" s="15"/>
      <c r="T547" s="20"/>
    </row>
    <row r="548">
      <c r="D548" s="48"/>
      <c r="E548" s="15"/>
      <c r="F548" s="15"/>
      <c r="T548" s="20"/>
    </row>
    <row r="549">
      <c r="D549" s="48"/>
      <c r="E549" s="15"/>
      <c r="F549" s="15"/>
      <c r="T549" s="20"/>
    </row>
    <row r="550">
      <c r="D550" s="48"/>
      <c r="E550" s="15"/>
      <c r="F550" s="15"/>
      <c r="T550" s="20"/>
    </row>
    <row r="551">
      <c r="D551" s="48"/>
      <c r="E551" s="15"/>
      <c r="F551" s="15"/>
      <c r="T551" s="20"/>
    </row>
    <row r="552">
      <c r="D552" s="48"/>
      <c r="E552" s="15"/>
      <c r="F552" s="15"/>
      <c r="T552" s="20"/>
    </row>
    <row r="553">
      <c r="D553" s="48"/>
      <c r="E553" s="15"/>
      <c r="F553" s="15"/>
      <c r="T553" s="20"/>
    </row>
    <row r="554">
      <c r="D554" s="48"/>
      <c r="E554" s="15"/>
      <c r="F554" s="15"/>
      <c r="T554" s="20"/>
    </row>
    <row r="555">
      <c r="D555" s="48"/>
      <c r="E555" s="15"/>
      <c r="F555" s="15"/>
      <c r="T555" s="20"/>
    </row>
    <row r="556">
      <c r="D556" s="48"/>
      <c r="E556" s="15"/>
      <c r="F556" s="15"/>
      <c r="T556" s="20"/>
    </row>
    <row r="557">
      <c r="D557" s="48"/>
      <c r="E557" s="15"/>
      <c r="F557" s="15"/>
      <c r="T557" s="20"/>
    </row>
    <row r="558">
      <c r="D558" s="48"/>
      <c r="E558" s="15"/>
      <c r="F558" s="15"/>
      <c r="T558" s="20"/>
    </row>
    <row r="559">
      <c r="D559" s="48"/>
      <c r="E559" s="15"/>
      <c r="F559" s="15"/>
      <c r="T559" s="20"/>
    </row>
    <row r="560">
      <c r="D560" s="48"/>
      <c r="E560" s="15"/>
      <c r="F560" s="15"/>
      <c r="T560" s="20"/>
    </row>
    <row r="561">
      <c r="D561" s="48"/>
      <c r="E561" s="15"/>
      <c r="F561" s="15"/>
      <c r="T561" s="20"/>
    </row>
    <row r="562">
      <c r="D562" s="48"/>
      <c r="E562" s="15"/>
      <c r="F562" s="15"/>
      <c r="T562" s="20"/>
    </row>
    <row r="563">
      <c r="D563" s="48"/>
      <c r="E563" s="15"/>
      <c r="F563" s="15"/>
      <c r="T563" s="20"/>
    </row>
    <row r="564">
      <c r="D564" s="48"/>
      <c r="E564" s="15"/>
      <c r="F564" s="15"/>
      <c r="T564" s="20"/>
    </row>
    <row r="565">
      <c r="D565" s="48"/>
      <c r="E565" s="15"/>
      <c r="F565" s="15"/>
      <c r="T565" s="20"/>
    </row>
    <row r="566">
      <c r="D566" s="48"/>
      <c r="E566" s="15"/>
      <c r="F566" s="15"/>
      <c r="T566" s="20"/>
    </row>
    <row r="567">
      <c r="D567" s="48"/>
      <c r="E567" s="15"/>
      <c r="F567" s="15"/>
      <c r="T567" s="20"/>
    </row>
    <row r="568">
      <c r="D568" s="48"/>
      <c r="E568" s="15"/>
      <c r="F568" s="15"/>
      <c r="T568" s="20"/>
    </row>
    <row r="569">
      <c r="D569" s="48"/>
      <c r="E569" s="15"/>
      <c r="F569" s="15"/>
      <c r="T569" s="20"/>
    </row>
    <row r="570">
      <c r="D570" s="48"/>
      <c r="E570" s="15"/>
      <c r="F570" s="15"/>
      <c r="T570" s="20"/>
    </row>
    <row r="571">
      <c r="D571" s="48"/>
      <c r="E571" s="15"/>
      <c r="F571" s="15"/>
      <c r="T571" s="20"/>
    </row>
    <row r="572">
      <c r="D572" s="48"/>
      <c r="E572" s="15"/>
      <c r="F572" s="15"/>
      <c r="T572" s="20"/>
    </row>
    <row r="573">
      <c r="D573" s="48"/>
      <c r="E573" s="15"/>
      <c r="F573" s="15"/>
      <c r="T573" s="20"/>
    </row>
    <row r="574">
      <c r="D574" s="48"/>
      <c r="E574" s="15"/>
      <c r="F574" s="15"/>
      <c r="T574" s="20"/>
    </row>
    <row r="575">
      <c r="D575" s="48"/>
      <c r="E575" s="15"/>
      <c r="F575" s="15"/>
      <c r="T575" s="20"/>
    </row>
    <row r="576">
      <c r="D576" s="48"/>
      <c r="E576" s="15"/>
      <c r="F576" s="15"/>
      <c r="T576" s="20"/>
    </row>
    <row r="577">
      <c r="D577" s="48"/>
      <c r="E577" s="15"/>
      <c r="F577" s="15"/>
      <c r="T577" s="20"/>
    </row>
    <row r="578">
      <c r="D578" s="48"/>
      <c r="E578" s="15"/>
      <c r="F578" s="15"/>
      <c r="T578" s="20"/>
    </row>
    <row r="579">
      <c r="D579" s="48"/>
      <c r="E579" s="15"/>
      <c r="F579" s="15"/>
      <c r="T579" s="20"/>
    </row>
    <row r="580">
      <c r="D580" s="48"/>
      <c r="E580" s="15"/>
      <c r="F580" s="15"/>
      <c r="T580" s="20"/>
    </row>
    <row r="581">
      <c r="D581" s="48"/>
      <c r="E581" s="15"/>
      <c r="F581" s="15"/>
      <c r="T581" s="20"/>
    </row>
    <row r="582">
      <c r="D582" s="48"/>
      <c r="E582" s="15"/>
      <c r="F582" s="15"/>
      <c r="T582" s="20"/>
    </row>
    <row r="583">
      <c r="D583" s="48"/>
      <c r="E583" s="15"/>
      <c r="F583" s="15"/>
      <c r="T583" s="20"/>
    </row>
    <row r="584">
      <c r="D584" s="48"/>
      <c r="E584" s="15"/>
      <c r="F584" s="15"/>
      <c r="T584" s="20"/>
    </row>
    <row r="585">
      <c r="D585" s="48"/>
      <c r="E585" s="15"/>
      <c r="F585" s="15"/>
      <c r="T585" s="20"/>
    </row>
    <row r="586">
      <c r="D586" s="48"/>
      <c r="E586" s="15"/>
      <c r="F586" s="15"/>
      <c r="T586" s="20"/>
    </row>
    <row r="587">
      <c r="D587" s="48"/>
      <c r="E587" s="15"/>
      <c r="F587" s="15"/>
      <c r="T587" s="20"/>
    </row>
    <row r="588">
      <c r="D588" s="48"/>
      <c r="E588" s="15"/>
      <c r="F588" s="15"/>
      <c r="T588" s="20"/>
    </row>
    <row r="589">
      <c r="D589" s="48"/>
      <c r="E589" s="15"/>
      <c r="F589" s="15"/>
      <c r="T589" s="20"/>
    </row>
    <row r="590">
      <c r="D590" s="48"/>
      <c r="E590" s="15"/>
      <c r="F590" s="15"/>
      <c r="T590" s="20"/>
    </row>
    <row r="591">
      <c r="D591" s="48"/>
      <c r="E591" s="15"/>
      <c r="F591" s="15"/>
      <c r="T591" s="20"/>
    </row>
    <row r="592">
      <c r="D592" s="48"/>
      <c r="E592" s="15"/>
      <c r="F592" s="15"/>
      <c r="T592" s="20"/>
    </row>
    <row r="593">
      <c r="D593" s="48"/>
      <c r="E593" s="15"/>
      <c r="F593" s="15"/>
      <c r="T593" s="20"/>
    </row>
    <row r="594">
      <c r="D594" s="48"/>
      <c r="E594" s="15"/>
      <c r="F594" s="15"/>
      <c r="T594" s="20"/>
    </row>
    <row r="595">
      <c r="D595" s="48"/>
      <c r="E595" s="15"/>
      <c r="F595" s="15"/>
      <c r="T595" s="20"/>
    </row>
    <row r="596">
      <c r="D596" s="48"/>
      <c r="E596" s="15"/>
      <c r="F596" s="15"/>
      <c r="T596" s="20"/>
    </row>
    <row r="597">
      <c r="D597" s="48"/>
      <c r="E597" s="15"/>
      <c r="F597" s="15"/>
      <c r="T597" s="20"/>
    </row>
    <row r="598">
      <c r="D598" s="48"/>
      <c r="E598" s="15"/>
      <c r="F598" s="15"/>
      <c r="T598" s="20"/>
    </row>
    <row r="599">
      <c r="D599" s="48"/>
      <c r="E599" s="15"/>
      <c r="F599" s="15"/>
      <c r="T599" s="20"/>
    </row>
    <row r="600">
      <c r="D600" s="48"/>
      <c r="E600" s="15"/>
      <c r="F600" s="15"/>
      <c r="T600" s="20"/>
    </row>
    <row r="601">
      <c r="D601" s="48"/>
      <c r="E601" s="15"/>
      <c r="F601" s="15"/>
      <c r="T601" s="20"/>
    </row>
    <row r="602">
      <c r="D602" s="48"/>
      <c r="E602" s="15"/>
      <c r="F602" s="15"/>
      <c r="T602" s="20"/>
    </row>
    <row r="603">
      <c r="D603" s="48"/>
      <c r="E603" s="15"/>
      <c r="F603" s="15"/>
      <c r="T603" s="20"/>
    </row>
    <row r="604">
      <c r="D604" s="48"/>
      <c r="E604" s="15"/>
      <c r="F604" s="15"/>
      <c r="T604" s="20"/>
    </row>
    <row r="605">
      <c r="D605" s="48"/>
      <c r="E605" s="15"/>
      <c r="F605" s="15"/>
      <c r="T605" s="20"/>
    </row>
    <row r="606">
      <c r="D606" s="48"/>
      <c r="E606" s="15"/>
      <c r="F606" s="15"/>
      <c r="T606" s="20"/>
    </row>
    <row r="607">
      <c r="D607" s="48"/>
      <c r="E607" s="15"/>
      <c r="F607" s="15"/>
      <c r="T607" s="20"/>
    </row>
    <row r="608">
      <c r="D608" s="48"/>
      <c r="E608" s="15"/>
      <c r="F608" s="15"/>
      <c r="T608" s="20"/>
    </row>
    <row r="609">
      <c r="D609" s="48"/>
      <c r="E609" s="15"/>
      <c r="F609" s="15"/>
      <c r="T609" s="20"/>
    </row>
    <row r="610">
      <c r="D610" s="48"/>
      <c r="E610" s="15"/>
      <c r="F610" s="15"/>
      <c r="T610" s="20"/>
    </row>
    <row r="611">
      <c r="D611" s="48"/>
      <c r="E611" s="15"/>
      <c r="F611" s="15"/>
      <c r="T611" s="20"/>
    </row>
    <row r="612">
      <c r="D612" s="48"/>
      <c r="E612" s="15"/>
      <c r="F612" s="15"/>
      <c r="T612" s="20"/>
    </row>
    <row r="613">
      <c r="D613" s="48"/>
      <c r="E613" s="15"/>
      <c r="F613" s="15"/>
      <c r="T613" s="20"/>
    </row>
    <row r="614">
      <c r="D614" s="48"/>
      <c r="E614" s="15"/>
      <c r="F614" s="15"/>
      <c r="T614" s="20"/>
    </row>
    <row r="615">
      <c r="D615" s="48"/>
      <c r="E615" s="15"/>
      <c r="F615" s="15"/>
      <c r="T615" s="20"/>
    </row>
    <row r="616">
      <c r="D616" s="48"/>
      <c r="E616" s="15"/>
      <c r="F616" s="15"/>
      <c r="T616" s="20"/>
    </row>
    <row r="617">
      <c r="D617" s="48"/>
      <c r="E617" s="15"/>
      <c r="F617" s="15"/>
      <c r="T617" s="20"/>
    </row>
    <row r="618">
      <c r="D618" s="48"/>
      <c r="E618" s="15"/>
      <c r="F618" s="15"/>
      <c r="T618" s="20"/>
    </row>
    <row r="619">
      <c r="D619" s="48"/>
      <c r="E619" s="15"/>
      <c r="F619" s="15"/>
      <c r="T619" s="20"/>
    </row>
    <row r="620">
      <c r="D620" s="48"/>
      <c r="E620" s="15"/>
      <c r="F620" s="15"/>
      <c r="T620" s="20"/>
    </row>
    <row r="621">
      <c r="D621" s="48"/>
      <c r="E621" s="15"/>
      <c r="F621" s="15"/>
      <c r="T621" s="20"/>
    </row>
    <row r="622">
      <c r="D622" s="48"/>
      <c r="E622" s="15"/>
      <c r="F622" s="15"/>
      <c r="T622" s="20"/>
    </row>
    <row r="623">
      <c r="D623" s="48"/>
      <c r="E623" s="15"/>
      <c r="F623" s="15"/>
      <c r="T623" s="20"/>
    </row>
    <row r="624">
      <c r="D624" s="48"/>
      <c r="E624" s="15"/>
      <c r="F624" s="15"/>
      <c r="T624" s="20"/>
    </row>
    <row r="625">
      <c r="D625" s="48"/>
      <c r="E625" s="15"/>
      <c r="F625" s="15"/>
      <c r="T625" s="20"/>
    </row>
    <row r="626">
      <c r="D626" s="48"/>
      <c r="E626" s="15"/>
      <c r="F626" s="15"/>
      <c r="T626" s="20"/>
    </row>
    <row r="627">
      <c r="D627" s="48"/>
      <c r="E627" s="15"/>
      <c r="F627" s="15"/>
      <c r="T627" s="20"/>
    </row>
    <row r="628">
      <c r="D628" s="48"/>
      <c r="E628" s="15"/>
      <c r="F628" s="15"/>
      <c r="T628" s="20"/>
    </row>
    <row r="629">
      <c r="D629" s="48"/>
      <c r="E629" s="15"/>
      <c r="F629" s="15"/>
      <c r="T629" s="20"/>
    </row>
    <row r="630">
      <c r="D630" s="48"/>
      <c r="E630" s="15"/>
      <c r="F630" s="15"/>
      <c r="T630" s="20"/>
    </row>
    <row r="631">
      <c r="D631" s="48"/>
      <c r="E631" s="15"/>
      <c r="F631" s="15"/>
      <c r="T631" s="20"/>
    </row>
    <row r="632">
      <c r="D632" s="48"/>
      <c r="E632" s="15"/>
      <c r="F632" s="15"/>
      <c r="T632" s="20"/>
    </row>
    <row r="633">
      <c r="D633" s="48"/>
      <c r="E633" s="15"/>
      <c r="F633" s="15"/>
      <c r="T633" s="20"/>
    </row>
    <row r="634">
      <c r="D634" s="48"/>
      <c r="E634" s="15"/>
      <c r="F634" s="15"/>
      <c r="T634" s="20"/>
    </row>
    <row r="635">
      <c r="D635" s="48"/>
      <c r="E635" s="15"/>
      <c r="F635" s="15"/>
      <c r="T635" s="20"/>
    </row>
    <row r="636">
      <c r="D636" s="48"/>
      <c r="E636" s="15"/>
      <c r="F636" s="15"/>
      <c r="T636" s="20"/>
    </row>
    <row r="637">
      <c r="D637" s="48"/>
      <c r="E637" s="15"/>
      <c r="F637" s="15"/>
      <c r="T637" s="20"/>
    </row>
    <row r="638">
      <c r="D638" s="48"/>
      <c r="E638" s="15"/>
      <c r="F638" s="15"/>
      <c r="T638" s="20"/>
    </row>
    <row r="639">
      <c r="D639" s="48"/>
      <c r="E639" s="15"/>
      <c r="F639" s="15"/>
      <c r="T639" s="20"/>
    </row>
    <row r="640">
      <c r="D640" s="48"/>
      <c r="E640" s="15"/>
      <c r="F640" s="15"/>
      <c r="T640" s="20"/>
    </row>
    <row r="641">
      <c r="D641" s="48"/>
      <c r="E641" s="15"/>
      <c r="F641" s="15"/>
      <c r="T641" s="20"/>
    </row>
    <row r="642">
      <c r="D642" s="48"/>
      <c r="E642" s="15"/>
      <c r="F642" s="15"/>
      <c r="T642" s="20"/>
    </row>
    <row r="643">
      <c r="D643" s="48"/>
      <c r="E643" s="15"/>
      <c r="F643" s="15"/>
      <c r="T643" s="20"/>
    </row>
    <row r="644">
      <c r="D644" s="48"/>
      <c r="E644" s="15"/>
      <c r="F644" s="15"/>
      <c r="T644" s="20"/>
    </row>
    <row r="645">
      <c r="D645" s="48"/>
      <c r="E645" s="15"/>
      <c r="F645" s="15"/>
      <c r="T645" s="20"/>
    </row>
    <row r="646">
      <c r="D646" s="48"/>
      <c r="E646" s="15"/>
      <c r="F646" s="15"/>
      <c r="T646" s="20"/>
    </row>
    <row r="647">
      <c r="D647" s="48"/>
      <c r="E647" s="15"/>
      <c r="F647" s="15"/>
      <c r="T647" s="20"/>
    </row>
    <row r="648">
      <c r="D648" s="48"/>
      <c r="E648" s="15"/>
      <c r="F648" s="15"/>
      <c r="T648" s="20"/>
    </row>
    <row r="649">
      <c r="D649" s="48"/>
      <c r="E649" s="15"/>
      <c r="F649" s="15"/>
      <c r="T649" s="20"/>
    </row>
    <row r="650">
      <c r="D650" s="48"/>
      <c r="E650" s="15"/>
      <c r="F650" s="15"/>
      <c r="T650" s="20"/>
    </row>
    <row r="651">
      <c r="D651" s="48"/>
      <c r="E651" s="15"/>
      <c r="F651" s="15"/>
      <c r="T651" s="20"/>
    </row>
    <row r="652">
      <c r="D652" s="48"/>
      <c r="E652" s="15"/>
      <c r="F652" s="15"/>
      <c r="T652" s="20"/>
    </row>
    <row r="653">
      <c r="D653" s="48"/>
      <c r="E653" s="15"/>
      <c r="F653" s="15"/>
      <c r="T653" s="20"/>
    </row>
    <row r="654">
      <c r="D654" s="48"/>
      <c r="E654" s="15"/>
      <c r="F654" s="15"/>
      <c r="T654" s="20"/>
    </row>
    <row r="655">
      <c r="D655" s="48"/>
      <c r="E655" s="15"/>
      <c r="F655" s="15"/>
      <c r="T655" s="20"/>
    </row>
    <row r="656">
      <c r="D656" s="48"/>
      <c r="E656" s="15"/>
      <c r="F656" s="15"/>
      <c r="T656" s="20"/>
    </row>
    <row r="657">
      <c r="D657" s="48"/>
      <c r="E657" s="15"/>
      <c r="F657" s="15"/>
      <c r="T657" s="20"/>
    </row>
    <row r="658">
      <c r="D658" s="48"/>
      <c r="E658" s="15"/>
      <c r="F658" s="15"/>
      <c r="T658" s="20"/>
    </row>
    <row r="659">
      <c r="D659" s="48"/>
      <c r="E659" s="15"/>
      <c r="F659" s="15"/>
      <c r="T659" s="20"/>
    </row>
    <row r="660">
      <c r="D660" s="48"/>
      <c r="E660" s="15"/>
      <c r="F660" s="15"/>
      <c r="T660" s="20"/>
    </row>
    <row r="661">
      <c r="D661" s="48"/>
      <c r="E661" s="15"/>
      <c r="F661" s="15"/>
      <c r="T661" s="20"/>
    </row>
    <row r="662">
      <c r="D662" s="48"/>
      <c r="E662" s="15"/>
      <c r="F662" s="15"/>
      <c r="T662" s="20"/>
    </row>
    <row r="663">
      <c r="D663" s="48"/>
      <c r="E663" s="15"/>
      <c r="F663" s="15"/>
      <c r="T663" s="20"/>
    </row>
    <row r="664">
      <c r="D664" s="48"/>
      <c r="E664" s="15"/>
      <c r="F664" s="15"/>
      <c r="T664" s="20"/>
    </row>
    <row r="665">
      <c r="D665" s="48"/>
      <c r="E665" s="15"/>
      <c r="F665" s="15"/>
      <c r="T665" s="20"/>
    </row>
    <row r="666">
      <c r="D666" s="48"/>
      <c r="E666" s="15"/>
      <c r="F666" s="15"/>
      <c r="T666" s="20"/>
    </row>
    <row r="667">
      <c r="D667" s="48"/>
      <c r="E667" s="15"/>
      <c r="F667" s="15"/>
      <c r="T667" s="20"/>
    </row>
    <row r="668">
      <c r="D668" s="48"/>
      <c r="E668" s="15"/>
      <c r="F668" s="15"/>
      <c r="T668" s="20"/>
    </row>
    <row r="669">
      <c r="D669" s="48"/>
      <c r="E669" s="15"/>
      <c r="F669" s="15"/>
      <c r="T669" s="20"/>
    </row>
    <row r="670">
      <c r="D670" s="48"/>
      <c r="E670" s="15"/>
      <c r="F670" s="15"/>
      <c r="T670" s="20"/>
    </row>
    <row r="671">
      <c r="D671" s="48"/>
      <c r="E671" s="15"/>
      <c r="F671" s="15"/>
      <c r="T671" s="20"/>
    </row>
    <row r="672">
      <c r="D672" s="48"/>
      <c r="E672" s="15"/>
      <c r="F672" s="15"/>
      <c r="T672" s="20"/>
    </row>
    <row r="673">
      <c r="D673" s="48"/>
      <c r="E673" s="15"/>
      <c r="F673" s="15"/>
      <c r="T673" s="20"/>
    </row>
    <row r="674">
      <c r="D674" s="48"/>
      <c r="E674" s="15"/>
      <c r="F674" s="15"/>
      <c r="T674" s="20"/>
    </row>
    <row r="675">
      <c r="D675" s="48"/>
      <c r="E675" s="15"/>
      <c r="F675" s="15"/>
      <c r="T675" s="20"/>
    </row>
    <row r="676">
      <c r="D676" s="48"/>
      <c r="E676" s="15"/>
      <c r="F676" s="15"/>
      <c r="T676" s="20"/>
    </row>
    <row r="677">
      <c r="D677" s="48"/>
      <c r="E677" s="15"/>
      <c r="F677" s="15"/>
      <c r="T677" s="20"/>
    </row>
    <row r="678">
      <c r="D678" s="48"/>
      <c r="E678" s="15"/>
      <c r="F678" s="15"/>
      <c r="T678" s="20"/>
    </row>
    <row r="679">
      <c r="D679" s="48"/>
      <c r="E679" s="15"/>
      <c r="F679" s="15"/>
      <c r="T679" s="20"/>
    </row>
    <row r="680">
      <c r="D680" s="48"/>
      <c r="E680" s="15"/>
      <c r="F680" s="15"/>
      <c r="T680" s="20"/>
    </row>
    <row r="681">
      <c r="D681" s="48"/>
      <c r="E681" s="15"/>
      <c r="F681" s="15"/>
      <c r="T681" s="20"/>
    </row>
    <row r="682">
      <c r="D682" s="48"/>
      <c r="E682" s="15"/>
      <c r="F682" s="15"/>
      <c r="T682" s="20"/>
    </row>
    <row r="683">
      <c r="D683" s="48"/>
      <c r="E683" s="15"/>
      <c r="F683" s="15"/>
      <c r="T683" s="20"/>
    </row>
    <row r="684">
      <c r="D684" s="48"/>
      <c r="E684" s="15"/>
      <c r="F684" s="15"/>
      <c r="T684" s="20"/>
    </row>
    <row r="685">
      <c r="D685" s="48"/>
      <c r="E685" s="15"/>
      <c r="F685" s="15"/>
      <c r="T685" s="20"/>
    </row>
    <row r="686">
      <c r="D686" s="48"/>
      <c r="E686" s="15"/>
      <c r="F686" s="15"/>
      <c r="T686" s="20"/>
    </row>
    <row r="687">
      <c r="D687" s="48"/>
      <c r="E687" s="15"/>
      <c r="F687" s="15"/>
      <c r="T687" s="20"/>
    </row>
    <row r="688">
      <c r="D688" s="48"/>
      <c r="E688" s="15"/>
      <c r="F688" s="15"/>
      <c r="T688" s="20"/>
    </row>
    <row r="689">
      <c r="D689" s="48"/>
      <c r="E689" s="15"/>
      <c r="F689" s="15"/>
      <c r="T689" s="20"/>
    </row>
    <row r="690">
      <c r="D690" s="48"/>
      <c r="E690" s="15"/>
      <c r="F690" s="15"/>
      <c r="T690" s="20"/>
    </row>
    <row r="691">
      <c r="D691" s="48"/>
      <c r="E691" s="15"/>
      <c r="F691" s="15"/>
      <c r="T691" s="20"/>
    </row>
    <row r="692">
      <c r="D692" s="48"/>
      <c r="E692" s="15"/>
      <c r="F692" s="15"/>
      <c r="T692" s="20"/>
    </row>
    <row r="693">
      <c r="D693" s="48"/>
      <c r="E693" s="15"/>
      <c r="F693" s="15"/>
      <c r="T693" s="20"/>
    </row>
    <row r="694">
      <c r="D694" s="48"/>
      <c r="E694" s="15"/>
      <c r="F694" s="15"/>
      <c r="T694" s="20"/>
    </row>
    <row r="695">
      <c r="D695" s="48"/>
      <c r="E695" s="15"/>
      <c r="F695" s="15"/>
      <c r="T695" s="20"/>
    </row>
    <row r="696">
      <c r="D696" s="48"/>
      <c r="E696" s="15"/>
      <c r="F696" s="15"/>
      <c r="T696" s="20"/>
    </row>
    <row r="697">
      <c r="D697" s="48"/>
      <c r="E697" s="15"/>
      <c r="F697" s="15"/>
      <c r="T697" s="20"/>
    </row>
    <row r="698">
      <c r="D698" s="48"/>
      <c r="E698" s="15"/>
      <c r="F698" s="15"/>
      <c r="T698" s="20"/>
    </row>
    <row r="699">
      <c r="D699" s="48"/>
      <c r="E699" s="15"/>
      <c r="F699" s="15"/>
      <c r="T699" s="20"/>
    </row>
    <row r="700">
      <c r="D700" s="48"/>
      <c r="E700" s="15"/>
      <c r="F700" s="15"/>
      <c r="T700" s="20"/>
    </row>
    <row r="701">
      <c r="D701" s="48"/>
      <c r="E701" s="15"/>
      <c r="F701" s="15"/>
      <c r="T701" s="20"/>
    </row>
    <row r="702">
      <c r="D702" s="48"/>
      <c r="E702" s="15"/>
      <c r="F702" s="15"/>
      <c r="T702" s="20"/>
    </row>
    <row r="703">
      <c r="D703" s="48"/>
      <c r="E703" s="15"/>
      <c r="F703" s="15"/>
      <c r="T703" s="20"/>
    </row>
    <row r="704">
      <c r="D704" s="48"/>
      <c r="E704" s="15"/>
      <c r="F704" s="15"/>
      <c r="T704" s="20"/>
    </row>
    <row r="705">
      <c r="D705" s="48"/>
      <c r="E705" s="15"/>
      <c r="F705" s="15"/>
      <c r="T705" s="20"/>
    </row>
    <row r="706">
      <c r="D706" s="48"/>
      <c r="E706" s="15"/>
      <c r="F706" s="15"/>
      <c r="T706" s="20"/>
    </row>
    <row r="707">
      <c r="D707" s="48"/>
      <c r="E707" s="15"/>
      <c r="F707" s="15"/>
      <c r="T707" s="20"/>
    </row>
    <row r="708">
      <c r="D708" s="48"/>
      <c r="E708" s="15"/>
      <c r="F708" s="15"/>
      <c r="T708" s="20"/>
    </row>
    <row r="709">
      <c r="D709" s="48"/>
      <c r="E709" s="15"/>
      <c r="F709" s="15"/>
      <c r="T709" s="20"/>
    </row>
    <row r="710">
      <c r="D710" s="48"/>
      <c r="E710" s="15"/>
      <c r="F710" s="15"/>
      <c r="T710" s="20"/>
    </row>
    <row r="711">
      <c r="D711" s="48"/>
      <c r="E711" s="15"/>
      <c r="F711" s="15"/>
      <c r="T711" s="20"/>
    </row>
    <row r="712">
      <c r="D712" s="48"/>
      <c r="E712" s="15"/>
      <c r="F712" s="15"/>
      <c r="T712" s="20"/>
    </row>
    <row r="713">
      <c r="D713" s="48"/>
      <c r="E713" s="15"/>
      <c r="F713" s="15"/>
      <c r="T713" s="20"/>
    </row>
    <row r="714">
      <c r="D714" s="48"/>
      <c r="E714" s="15"/>
      <c r="F714" s="15"/>
      <c r="T714" s="20"/>
    </row>
    <row r="715">
      <c r="D715" s="48"/>
      <c r="E715" s="15"/>
      <c r="F715" s="15"/>
      <c r="T715" s="20"/>
    </row>
    <row r="716">
      <c r="D716" s="48"/>
      <c r="E716" s="15"/>
      <c r="F716" s="15"/>
      <c r="T716" s="20"/>
    </row>
    <row r="717">
      <c r="D717" s="48"/>
      <c r="E717" s="15"/>
      <c r="F717" s="15"/>
      <c r="T717" s="20"/>
    </row>
    <row r="718">
      <c r="D718" s="48"/>
      <c r="E718" s="15"/>
      <c r="F718" s="15"/>
      <c r="T718" s="20"/>
    </row>
    <row r="719">
      <c r="D719" s="48"/>
      <c r="E719" s="15"/>
      <c r="F719" s="15"/>
      <c r="T719" s="20"/>
    </row>
    <row r="720">
      <c r="D720" s="48"/>
      <c r="E720" s="15"/>
      <c r="F720" s="15"/>
      <c r="T720" s="20"/>
    </row>
    <row r="721">
      <c r="D721" s="48"/>
      <c r="E721" s="15"/>
      <c r="F721" s="15"/>
      <c r="T721" s="20"/>
    </row>
    <row r="722">
      <c r="D722" s="48"/>
      <c r="E722" s="15"/>
      <c r="F722" s="15"/>
      <c r="T722" s="20"/>
    </row>
    <row r="723">
      <c r="D723" s="48"/>
      <c r="E723" s="15"/>
      <c r="F723" s="15"/>
      <c r="T723" s="20"/>
    </row>
    <row r="724">
      <c r="D724" s="48"/>
      <c r="E724" s="15"/>
      <c r="F724" s="15"/>
      <c r="T724" s="20"/>
    </row>
    <row r="725">
      <c r="D725" s="48"/>
      <c r="E725" s="15"/>
      <c r="F725" s="15"/>
      <c r="T725" s="20"/>
    </row>
    <row r="726">
      <c r="D726" s="48"/>
      <c r="E726" s="15"/>
      <c r="F726" s="15"/>
      <c r="T726" s="20"/>
    </row>
    <row r="727">
      <c r="D727" s="48"/>
      <c r="E727" s="15"/>
      <c r="F727" s="15"/>
      <c r="T727" s="20"/>
    </row>
    <row r="728">
      <c r="D728" s="48"/>
      <c r="E728" s="15"/>
      <c r="F728" s="15"/>
      <c r="T728" s="20"/>
    </row>
    <row r="729">
      <c r="D729" s="48"/>
      <c r="E729" s="15"/>
      <c r="F729" s="15"/>
      <c r="T729" s="20"/>
    </row>
    <row r="730">
      <c r="D730" s="48"/>
      <c r="E730" s="15"/>
      <c r="F730" s="15"/>
      <c r="T730" s="20"/>
    </row>
    <row r="731">
      <c r="D731" s="48"/>
      <c r="E731" s="15"/>
      <c r="F731" s="15"/>
      <c r="T731" s="20"/>
    </row>
    <row r="732">
      <c r="D732" s="48"/>
      <c r="E732" s="15"/>
      <c r="F732" s="15"/>
      <c r="T732" s="20"/>
    </row>
    <row r="733">
      <c r="D733" s="48"/>
      <c r="E733" s="15"/>
      <c r="F733" s="15"/>
      <c r="T733" s="20"/>
    </row>
    <row r="734">
      <c r="D734" s="48"/>
      <c r="E734" s="15"/>
      <c r="F734" s="15"/>
      <c r="T734" s="20"/>
    </row>
    <row r="735">
      <c r="D735" s="48"/>
      <c r="E735" s="15"/>
      <c r="F735" s="15"/>
      <c r="T735" s="20"/>
    </row>
    <row r="736">
      <c r="D736" s="48"/>
      <c r="E736" s="15"/>
      <c r="F736" s="15"/>
      <c r="T736" s="20"/>
    </row>
    <row r="737">
      <c r="D737" s="48"/>
      <c r="E737" s="15"/>
      <c r="F737" s="15"/>
      <c r="T737" s="20"/>
    </row>
    <row r="738">
      <c r="D738" s="48"/>
      <c r="E738" s="15"/>
      <c r="F738" s="15"/>
      <c r="T738" s="20"/>
    </row>
    <row r="739">
      <c r="D739" s="48"/>
      <c r="E739" s="15"/>
      <c r="F739" s="15"/>
      <c r="T739" s="20"/>
    </row>
    <row r="740">
      <c r="D740" s="48"/>
      <c r="E740" s="15"/>
      <c r="F740" s="15"/>
      <c r="T740" s="20"/>
    </row>
    <row r="741">
      <c r="D741" s="48"/>
      <c r="E741" s="15"/>
      <c r="F741" s="15"/>
      <c r="T741" s="20"/>
    </row>
    <row r="742">
      <c r="D742" s="48"/>
      <c r="E742" s="15"/>
      <c r="F742" s="15"/>
      <c r="T742" s="20"/>
    </row>
    <row r="743">
      <c r="D743" s="48"/>
      <c r="E743" s="15"/>
      <c r="F743" s="15"/>
      <c r="T743" s="20"/>
    </row>
    <row r="744">
      <c r="D744" s="48"/>
      <c r="E744" s="15"/>
      <c r="F744" s="15"/>
      <c r="T744" s="20"/>
    </row>
    <row r="745">
      <c r="D745" s="48"/>
      <c r="E745" s="15"/>
      <c r="F745" s="15"/>
      <c r="T745" s="20"/>
    </row>
    <row r="746">
      <c r="D746" s="48"/>
      <c r="E746" s="15"/>
      <c r="F746" s="15"/>
      <c r="T746" s="20"/>
    </row>
    <row r="747">
      <c r="D747" s="48"/>
      <c r="E747" s="15"/>
      <c r="F747" s="15"/>
      <c r="T747" s="20"/>
    </row>
    <row r="748">
      <c r="D748" s="48"/>
      <c r="E748" s="15"/>
      <c r="F748" s="15"/>
      <c r="T748" s="20"/>
    </row>
    <row r="749">
      <c r="D749" s="48"/>
      <c r="E749" s="15"/>
      <c r="F749" s="15"/>
      <c r="T749" s="20"/>
    </row>
    <row r="750">
      <c r="D750" s="48"/>
      <c r="E750" s="15"/>
      <c r="F750" s="15"/>
      <c r="T750" s="20"/>
    </row>
    <row r="751">
      <c r="D751" s="48"/>
      <c r="E751" s="15"/>
      <c r="F751" s="15"/>
      <c r="T751" s="20"/>
    </row>
    <row r="752">
      <c r="D752" s="48"/>
      <c r="E752" s="15"/>
      <c r="F752" s="15"/>
      <c r="T752" s="20"/>
    </row>
    <row r="753">
      <c r="D753" s="48"/>
      <c r="E753" s="15"/>
      <c r="F753" s="15"/>
      <c r="T753" s="20"/>
    </row>
    <row r="754">
      <c r="D754" s="48"/>
      <c r="E754" s="15"/>
      <c r="F754" s="15"/>
      <c r="T754" s="20"/>
    </row>
    <row r="755">
      <c r="D755" s="48"/>
      <c r="E755" s="15"/>
      <c r="F755" s="15"/>
      <c r="T755" s="20"/>
    </row>
    <row r="756">
      <c r="D756" s="48"/>
      <c r="E756" s="15"/>
      <c r="F756" s="15"/>
      <c r="T756" s="20"/>
    </row>
    <row r="757">
      <c r="D757" s="48"/>
      <c r="E757" s="15"/>
      <c r="F757" s="15"/>
      <c r="T757" s="20"/>
    </row>
    <row r="758">
      <c r="D758" s="48"/>
      <c r="E758" s="15"/>
      <c r="F758" s="15"/>
      <c r="T758" s="20"/>
    </row>
    <row r="759">
      <c r="D759" s="48"/>
      <c r="E759" s="15"/>
      <c r="F759" s="15"/>
      <c r="T759" s="20"/>
    </row>
    <row r="760">
      <c r="D760" s="48"/>
      <c r="E760" s="15"/>
      <c r="F760" s="15"/>
      <c r="T760" s="20"/>
    </row>
    <row r="761">
      <c r="D761" s="48"/>
      <c r="E761" s="15"/>
      <c r="F761" s="15"/>
      <c r="T761" s="20"/>
    </row>
    <row r="762">
      <c r="D762" s="48"/>
      <c r="E762" s="15"/>
      <c r="F762" s="15"/>
      <c r="T762" s="20"/>
    </row>
    <row r="763">
      <c r="D763" s="48"/>
      <c r="E763" s="15"/>
      <c r="F763" s="15"/>
      <c r="T763" s="20"/>
    </row>
    <row r="764">
      <c r="D764" s="48"/>
      <c r="E764" s="15"/>
      <c r="F764" s="15"/>
      <c r="T764" s="20"/>
    </row>
    <row r="765">
      <c r="D765" s="48"/>
      <c r="E765" s="15"/>
      <c r="F765" s="15"/>
      <c r="T765" s="20"/>
    </row>
    <row r="766">
      <c r="D766" s="48"/>
      <c r="E766" s="15"/>
      <c r="F766" s="15"/>
      <c r="T766" s="20"/>
    </row>
    <row r="767">
      <c r="D767" s="48"/>
      <c r="E767" s="15"/>
      <c r="F767" s="15"/>
      <c r="T767" s="20"/>
    </row>
    <row r="768">
      <c r="D768" s="48"/>
      <c r="E768" s="15"/>
      <c r="F768" s="15"/>
      <c r="T768" s="20"/>
    </row>
    <row r="769">
      <c r="D769" s="48"/>
      <c r="E769" s="15"/>
      <c r="F769" s="15"/>
      <c r="T769" s="20"/>
    </row>
    <row r="770">
      <c r="D770" s="48"/>
      <c r="E770" s="15"/>
      <c r="F770" s="15"/>
      <c r="T770" s="20"/>
    </row>
    <row r="771">
      <c r="D771" s="48"/>
      <c r="E771" s="15"/>
      <c r="F771" s="15"/>
      <c r="T771" s="20"/>
    </row>
    <row r="772">
      <c r="D772" s="48"/>
      <c r="E772" s="15"/>
      <c r="F772" s="15"/>
      <c r="T772" s="20"/>
    </row>
    <row r="773">
      <c r="D773" s="48"/>
      <c r="E773" s="15"/>
      <c r="F773" s="15"/>
      <c r="T773" s="20"/>
    </row>
    <row r="774">
      <c r="D774" s="48"/>
      <c r="E774" s="15"/>
      <c r="F774" s="15"/>
      <c r="T774" s="20"/>
    </row>
    <row r="775">
      <c r="D775" s="48"/>
      <c r="E775" s="15"/>
      <c r="F775" s="15"/>
      <c r="T775" s="20"/>
    </row>
    <row r="776">
      <c r="D776" s="48"/>
      <c r="E776" s="15"/>
      <c r="F776" s="15"/>
      <c r="T776" s="20"/>
    </row>
    <row r="777">
      <c r="D777" s="48"/>
      <c r="E777" s="15"/>
      <c r="F777" s="15"/>
      <c r="T777" s="20"/>
    </row>
    <row r="778">
      <c r="D778" s="48"/>
      <c r="E778" s="15"/>
      <c r="F778" s="15"/>
      <c r="T778" s="20"/>
    </row>
    <row r="779">
      <c r="D779" s="48"/>
      <c r="E779" s="15"/>
      <c r="F779" s="15"/>
      <c r="T779" s="20"/>
    </row>
    <row r="780">
      <c r="D780" s="48"/>
      <c r="E780" s="15"/>
      <c r="F780" s="15"/>
      <c r="T780" s="20"/>
    </row>
    <row r="781">
      <c r="D781" s="48"/>
      <c r="E781" s="15"/>
      <c r="F781" s="15"/>
      <c r="T781" s="20"/>
    </row>
    <row r="782">
      <c r="D782" s="48"/>
      <c r="E782" s="15"/>
      <c r="F782" s="15"/>
      <c r="T782" s="20"/>
    </row>
    <row r="783">
      <c r="D783" s="48"/>
      <c r="E783" s="15"/>
      <c r="F783" s="15"/>
      <c r="T783" s="20"/>
    </row>
    <row r="784">
      <c r="D784" s="48"/>
      <c r="E784" s="15"/>
      <c r="F784" s="15"/>
      <c r="T784" s="20"/>
    </row>
    <row r="785">
      <c r="D785" s="48"/>
      <c r="E785" s="15"/>
      <c r="F785" s="15"/>
      <c r="T785" s="20"/>
    </row>
    <row r="786">
      <c r="D786" s="48"/>
      <c r="E786" s="15"/>
      <c r="F786" s="15"/>
      <c r="T786" s="20"/>
    </row>
    <row r="787">
      <c r="D787" s="48"/>
      <c r="E787" s="15"/>
      <c r="F787" s="15"/>
      <c r="T787" s="20"/>
    </row>
    <row r="788">
      <c r="D788" s="48"/>
      <c r="E788" s="15"/>
      <c r="F788" s="15"/>
      <c r="T788" s="20"/>
    </row>
    <row r="789">
      <c r="D789" s="48"/>
      <c r="E789" s="15"/>
      <c r="F789" s="15"/>
      <c r="T789" s="20"/>
    </row>
    <row r="790">
      <c r="D790" s="48"/>
      <c r="E790" s="15"/>
      <c r="F790" s="15"/>
      <c r="T790" s="20"/>
    </row>
    <row r="791">
      <c r="D791" s="48"/>
      <c r="E791" s="15"/>
      <c r="F791" s="15"/>
      <c r="T791" s="20"/>
    </row>
    <row r="792">
      <c r="D792" s="48"/>
      <c r="E792" s="15"/>
      <c r="F792" s="15"/>
      <c r="T792" s="20"/>
    </row>
    <row r="793">
      <c r="D793" s="48"/>
      <c r="E793" s="15"/>
      <c r="F793" s="15"/>
      <c r="T793" s="20"/>
    </row>
    <row r="794">
      <c r="D794" s="48"/>
      <c r="E794" s="15"/>
      <c r="F794" s="15"/>
      <c r="T794" s="20"/>
    </row>
    <row r="795">
      <c r="D795" s="48"/>
      <c r="E795" s="15"/>
      <c r="F795" s="15"/>
      <c r="T795" s="20"/>
    </row>
    <row r="796">
      <c r="D796" s="48"/>
      <c r="E796" s="15"/>
      <c r="F796" s="15"/>
      <c r="T796" s="20"/>
    </row>
    <row r="797">
      <c r="D797" s="48"/>
      <c r="E797" s="15"/>
      <c r="F797" s="15"/>
      <c r="T797" s="20"/>
    </row>
    <row r="798">
      <c r="D798" s="48"/>
      <c r="E798" s="15"/>
      <c r="F798" s="15"/>
      <c r="T798" s="20"/>
    </row>
    <row r="799">
      <c r="D799" s="48"/>
      <c r="E799" s="15"/>
      <c r="F799" s="15"/>
      <c r="T799" s="20"/>
    </row>
    <row r="800">
      <c r="D800" s="48"/>
      <c r="E800" s="15"/>
      <c r="F800" s="15"/>
      <c r="T800" s="20"/>
    </row>
    <row r="801">
      <c r="D801" s="48"/>
      <c r="E801" s="15"/>
      <c r="F801" s="15"/>
      <c r="T801" s="20"/>
    </row>
    <row r="802">
      <c r="D802" s="48"/>
      <c r="E802" s="15"/>
      <c r="F802" s="15"/>
      <c r="T802" s="20"/>
    </row>
    <row r="803">
      <c r="D803" s="48"/>
      <c r="E803" s="15"/>
      <c r="F803" s="15"/>
      <c r="T803" s="20"/>
    </row>
    <row r="804">
      <c r="D804" s="48"/>
      <c r="E804" s="15"/>
      <c r="F804" s="15"/>
      <c r="T804" s="20"/>
    </row>
    <row r="805">
      <c r="D805" s="48"/>
      <c r="E805" s="15"/>
      <c r="F805" s="15"/>
      <c r="T805" s="20"/>
    </row>
    <row r="806">
      <c r="D806" s="48"/>
      <c r="E806" s="15"/>
      <c r="F806" s="15"/>
      <c r="T806" s="20"/>
    </row>
    <row r="807">
      <c r="D807" s="48"/>
      <c r="E807" s="15"/>
      <c r="F807" s="15"/>
      <c r="T807" s="20"/>
    </row>
    <row r="808">
      <c r="D808" s="48"/>
      <c r="E808" s="15"/>
      <c r="F808" s="15"/>
      <c r="T808" s="20"/>
    </row>
    <row r="809">
      <c r="D809" s="48"/>
      <c r="E809" s="15"/>
      <c r="F809" s="15"/>
      <c r="T809" s="20"/>
    </row>
    <row r="810">
      <c r="D810" s="48"/>
      <c r="E810" s="15"/>
      <c r="F810" s="15"/>
      <c r="T810" s="20"/>
    </row>
    <row r="811">
      <c r="D811" s="48"/>
      <c r="E811" s="15"/>
      <c r="F811" s="15"/>
      <c r="T811" s="20"/>
    </row>
    <row r="812">
      <c r="D812" s="48"/>
      <c r="E812" s="15"/>
      <c r="F812" s="15"/>
      <c r="T812" s="20"/>
    </row>
    <row r="813">
      <c r="D813" s="48"/>
      <c r="E813" s="15"/>
      <c r="F813" s="15"/>
      <c r="T813" s="20"/>
    </row>
    <row r="814">
      <c r="D814" s="48"/>
      <c r="E814" s="15"/>
      <c r="F814" s="15"/>
      <c r="T814" s="20"/>
    </row>
    <row r="815">
      <c r="D815" s="48"/>
      <c r="E815" s="15"/>
      <c r="F815" s="15"/>
      <c r="T815" s="20"/>
    </row>
    <row r="816">
      <c r="D816" s="48"/>
      <c r="E816" s="15"/>
      <c r="F816" s="15"/>
      <c r="T816" s="20"/>
    </row>
    <row r="817">
      <c r="D817" s="48"/>
      <c r="E817" s="15"/>
      <c r="F817" s="15"/>
      <c r="T817" s="20"/>
    </row>
    <row r="818">
      <c r="D818" s="48"/>
      <c r="E818" s="15"/>
      <c r="F818" s="15"/>
      <c r="T818" s="20"/>
    </row>
    <row r="819">
      <c r="D819" s="48"/>
      <c r="E819" s="15"/>
      <c r="F819" s="15"/>
      <c r="T819" s="20"/>
    </row>
    <row r="820">
      <c r="D820" s="48"/>
      <c r="E820" s="15"/>
      <c r="F820" s="15"/>
      <c r="T820" s="20"/>
    </row>
    <row r="821">
      <c r="D821" s="48"/>
      <c r="E821" s="15"/>
      <c r="F821" s="15"/>
      <c r="T821" s="20"/>
    </row>
    <row r="822">
      <c r="D822" s="48"/>
      <c r="E822" s="15"/>
      <c r="F822" s="15"/>
      <c r="T822" s="20"/>
    </row>
    <row r="823">
      <c r="D823" s="48"/>
      <c r="E823" s="15"/>
      <c r="F823" s="15"/>
      <c r="T823" s="20"/>
    </row>
    <row r="824">
      <c r="D824" s="48"/>
      <c r="E824" s="15"/>
      <c r="F824" s="15"/>
      <c r="T824" s="20"/>
    </row>
    <row r="825">
      <c r="D825" s="48"/>
      <c r="E825" s="15"/>
      <c r="F825" s="15"/>
      <c r="T825" s="20"/>
    </row>
    <row r="826">
      <c r="D826" s="48"/>
      <c r="E826" s="15"/>
      <c r="F826" s="15"/>
      <c r="T826" s="20"/>
    </row>
    <row r="827">
      <c r="D827" s="48"/>
      <c r="E827" s="15"/>
      <c r="F827" s="15"/>
      <c r="T827" s="20"/>
    </row>
    <row r="828">
      <c r="D828" s="48"/>
      <c r="E828" s="15"/>
      <c r="F828" s="15"/>
      <c r="T828" s="20"/>
    </row>
    <row r="829">
      <c r="D829" s="48"/>
      <c r="E829" s="15"/>
      <c r="F829" s="15"/>
      <c r="T829" s="20"/>
    </row>
    <row r="830">
      <c r="D830" s="48"/>
      <c r="E830" s="15"/>
      <c r="F830" s="15"/>
      <c r="T830" s="20"/>
    </row>
    <row r="831">
      <c r="D831" s="48"/>
      <c r="E831" s="15"/>
      <c r="F831" s="15"/>
      <c r="T831" s="20"/>
    </row>
    <row r="832">
      <c r="D832" s="48"/>
      <c r="E832" s="15"/>
      <c r="F832" s="15"/>
      <c r="T832" s="20"/>
    </row>
    <row r="833">
      <c r="D833" s="48"/>
      <c r="E833" s="15"/>
      <c r="F833" s="15"/>
      <c r="T833" s="20"/>
    </row>
    <row r="834">
      <c r="D834" s="48"/>
      <c r="E834" s="15"/>
      <c r="F834" s="15"/>
      <c r="T834" s="20"/>
    </row>
    <row r="835">
      <c r="D835" s="48"/>
      <c r="E835" s="15"/>
      <c r="F835" s="15"/>
      <c r="T835" s="20"/>
    </row>
    <row r="836">
      <c r="D836" s="48"/>
      <c r="E836" s="15"/>
      <c r="F836" s="15"/>
      <c r="T836" s="20"/>
    </row>
    <row r="837">
      <c r="D837" s="48"/>
      <c r="E837" s="15"/>
      <c r="F837" s="15"/>
      <c r="T837" s="20"/>
    </row>
    <row r="838">
      <c r="D838" s="48"/>
      <c r="E838" s="15"/>
      <c r="F838" s="15"/>
      <c r="T838" s="20"/>
    </row>
    <row r="839">
      <c r="D839" s="48"/>
      <c r="E839" s="15"/>
      <c r="F839" s="15"/>
      <c r="T839" s="20"/>
    </row>
    <row r="840">
      <c r="D840" s="48"/>
      <c r="E840" s="15"/>
      <c r="F840" s="15"/>
      <c r="T840" s="20"/>
    </row>
    <row r="841">
      <c r="D841" s="48"/>
      <c r="E841" s="15"/>
      <c r="F841" s="15"/>
      <c r="T841" s="20"/>
    </row>
    <row r="842">
      <c r="D842" s="48"/>
      <c r="E842" s="15"/>
      <c r="F842" s="15"/>
      <c r="T842" s="20"/>
    </row>
    <row r="843">
      <c r="D843" s="48"/>
      <c r="E843" s="15"/>
      <c r="F843" s="15"/>
      <c r="T843" s="20"/>
    </row>
    <row r="844">
      <c r="D844" s="48"/>
      <c r="E844" s="15"/>
      <c r="F844" s="15"/>
      <c r="T844" s="20"/>
    </row>
    <row r="845">
      <c r="D845" s="48"/>
      <c r="E845" s="15"/>
      <c r="F845" s="15"/>
      <c r="T845" s="20"/>
    </row>
    <row r="846">
      <c r="D846" s="48"/>
      <c r="E846" s="15"/>
      <c r="F846" s="15"/>
      <c r="T846" s="20"/>
    </row>
    <row r="847">
      <c r="D847" s="48"/>
      <c r="E847" s="15"/>
      <c r="F847" s="15"/>
      <c r="T847" s="20"/>
    </row>
    <row r="848">
      <c r="D848" s="48"/>
      <c r="E848" s="15"/>
      <c r="F848" s="15"/>
      <c r="T848" s="20"/>
    </row>
    <row r="849">
      <c r="D849" s="48"/>
      <c r="E849" s="15"/>
      <c r="F849" s="15"/>
      <c r="T849" s="20"/>
    </row>
    <row r="850">
      <c r="D850" s="48"/>
      <c r="E850" s="15"/>
      <c r="F850" s="15"/>
      <c r="T850" s="20"/>
    </row>
    <row r="851">
      <c r="D851" s="48"/>
      <c r="E851" s="15"/>
      <c r="F851" s="15"/>
      <c r="T851" s="20"/>
    </row>
    <row r="852">
      <c r="D852" s="48"/>
      <c r="E852" s="15"/>
      <c r="F852" s="15"/>
      <c r="T852" s="20"/>
    </row>
    <row r="853">
      <c r="D853" s="48"/>
      <c r="E853" s="15"/>
      <c r="F853" s="15"/>
      <c r="T853" s="20"/>
    </row>
    <row r="854">
      <c r="D854" s="48"/>
      <c r="E854" s="15"/>
      <c r="F854" s="15"/>
      <c r="T854" s="20"/>
    </row>
    <row r="855">
      <c r="D855" s="48"/>
      <c r="E855" s="15"/>
      <c r="F855" s="15"/>
      <c r="T855" s="20"/>
    </row>
    <row r="856">
      <c r="D856" s="48"/>
      <c r="E856" s="15"/>
      <c r="F856" s="15"/>
      <c r="T856" s="20"/>
    </row>
    <row r="857">
      <c r="D857" s="48"/>
      <c r="E857" s="15"/>
      <c r="F857" s="15"/>
      <c r="T857" s="20"/>
    </row>
    <row r="858">
      <c r="D858" s="48"/>
      <c r="E858" s="15"/>
      <c r="F858" s="15"/>
      <c r="T858" s="20"/>
    </row>
    <row r="859">
      <c r="D859" s="48"/>
      <c r="E859" s="15"/>
      <c r="F859" s="15"/>
      <c r="T859" s="20"/>
    </row>
    <row r="860">
      <c r="D860" s="48"/>
      <c r="E860" s="15"/>
      <c r="F860" s="15"/>
      <c r="T860" s="20"/>
    </row>
    <row r="861">
      <c r="D861" s="48"/>
      <c r="E861" s="15"/>
      <c r="F861" s="15"/>
      <c r="T861" s="20"/>
    </row>
    <row r="862">
      <c r="D862" s="48"/>
      <c r="E862" s="15"/>
      <c r="F862" s="15"/>
      <c r="T862" s="20"/>
    </row>
    <row r="863">
      <c r="D863" s="48"/>
      <c r="E863" s="15"/>
      <c r="F863" s="15"/>
      <c r="T863" s="20"/>
    </row>
    <row r="864">
      <c r="D864" s="48"/>
      <c r="E864" s="15"/>
      <c r="F864" s="15"/>
      <c r="T864" s="20"/>
    </row>
    <row r="865">
      <c r="D865" s="48"/>
      <c r="E865" s="15"/>
      <c r="F865" s="15"/>
      <c r="T865" s="20"/>
    </row>
    <row r="866">
      <c r="D866" s="48"/>
      <c r="E866" s="15"/>
      <c r="F866" s="15"/>
      <c r="T866" s="20"/>
    </row>
    <row r="867">
      <c r="D867" s="48"/>
      <c r="E867" s="15"/>
      <c r="F867" s="15"/>
      <c r="T867" s="20"/>
    </row>
    <row r="868">
      <c r="D868" s="48"/>
      <c r="E868" s="15"/>
      <c r="F868" s="15"/>
      <c r="T868" s="20"/>
    </row>
    <row r="869">
      <c r="D869" s="48"/>
      <c r="E869" s="15"/>
      <c r="F869" s="15"/>
      <c r="T869" s="20"/>
    </row>
    <row r="870">
      <c r="D870" s="48"/>
      <c r="E870" s="15"/>
      <c r="F870" s="15"/>
      <c r="T870" s="20"/>
    </row>
    <row r="871">
      <c r="D871" s="48"/>
      <c r="E871" s="15"/>
      <c r="F871" s="15"/>
      <c r="T871" s="20"/>
    </row>
    <row r="872">
      <c r="D872" s="48"/>
      <c r="E872" s="15"/>
      <c r="F872" s="15"/>
      <c r="T872" s="20"/>
    </row>
    <row r="873">
      <c r="D873" s="48"/>
      <c r="E873" s="15"/>
      <c r="F873" s="15"/>
      <c r="T873" s="20"/>
    </row>
    <row r="874">
      <c r="D874" s="48"/>
      <c r="E874" s="15"/>
      <c r="F874" s="15"/>
      <c r="T874" s="20"/>
    </row>
    <row r="875">
      <c r="D875" s="48"/>
      <c r="E875" s="15"/>
      <c r="F875" s="15"/>
      <c r="T875" s="20"/>
    </row>
    <row r="876">
      <c r="D876" s="48"/>
      <c r="E876" s="15"/>
      <c r="F876" s="15"/>
      <c r="T876" s="20"/>
    </row>
    <row r="877">
      <c r="D877" s="48"/>
      <c r="E877" s="15"/>
      <c r="F877" s="15"/>
      <c r="T877" s="20"/>
    </row>
    <row r="878">
      <c r="D878" s="48"/>
      <c r="E878" s="15"/>
      <c r="F878" s="15"/>
      <c r="T878" s="20"/>
    </row>
    <row r="879">
      <c r="D879" s="48"/>
      <c r="E879" s="15"/>
      <c r="F879" s="15"/>
      <c r="T879" s="20"/>
    </row>
    <row r="880">
      <c r="D880" s="48"/>
      <c r="E880" s="15"/>
      <c r="F880" s="15"/>
      <c r="T880" s="20"/>
    </row>
    <row r="881">
      <c r="D881" s="48"/>
      <c r="E881" s="15"/>
      <c r="F881" s="15"/>
      <c r="T881" s="20"/>
    </row>
    <row r="882">
      <c r="D882" s="48"/>
      <c r="E882" s="15"/>
      <c r="F882" s="15"/>
      <c r="T882" s="20"/>
    </row>
    <row r="883">
      <c r="D883" s="48"/>
      <c r="E883" s="15"/>
      <c r="F883" s="15"/>
      <c r="T883" s="20"/>
    </row>
    <row r="884">
      <c r="D884" s="48"/>
      <c r="E884" s="15"/>
      <c r="F884" s="15"/>
      <c r="T884" s="20"/>
    </row>
    <row r="885">
      <c r="D885" s="48"/>
      <c r="E885" s="15"/>
      <c r="F885" s="15"/>
      <c r="T885" s="20"/>
    </row>
    <row r="886">
      <c r="D886" s="48"/>
      <c r="E886" s="15"/>
      <c r="F886" s="15"/>
      <c r="T886" s="20"/>
    </row>
    <row r="887">
      <c r="D887" s="48"/>
      <c r="E887" s="15"/>
      <c r="F887" s="15"/>
      <c r="T887" s="20"/>
    </row>
    <row r="888">
      <c r="D888" s="48"/>
      <c r="E888" s="15"/>
      <c r="F888" s="15"/>
      <c r="T888" s="20"/>
    </row>
    <row r="889">
      <c r="D889" s="48"/>
      <c r="E889" s="15"/>
      <c r="F889" s="15"/>
      <c r="T889" s="20"/>
    </row>
    <row r="890">
      <c r="D890" s="48"/>
      <c r="E890" s="15"/>
      <c r="F890" s="15"/>
      <c r="T890" s="20"/>
    </row>
    <row r="891">
      <c r="D891" s="48"/>
      <c r="E891" s="15"/>
      <c r="F891" s="15"/>
      <c r="T891" s="20"/>
    </row>
    <row r="892">
      <c r="D892" s="48"/>
      <c r="E892" s="15"/>
      <c r="F892" s="15"/>
      <c r="T892" s="20"/>
    </row>
    <row r="893">
      <c r="D893" s="48"/>
      <c r="E893" s="15"/>
      <c r="F893" s="15"/>
      <c r="T893" s="20"/>
    </row>
    <row r="894">
      <c r="D894" s="48"/>
      <c r="E894" s="15"/>
      <c r="F894" s="15"/>
      <c r="T894" s="20"/>
    </row>
    <row r="895">
      <c r="D895" s="48"/>
      <c r="E895" s="15"/>
      <c r="F895" s="15"/>
      <c r="T895" s="20"/>
    </row>
    <row r="896">
      <c r="D896" s="48"/>
      <c r="E896" s="15"/>
      <c r="F896" s="15"/>
      <c r="T896" s="20"/>
    </row>
    <row r="897">
      <c r="D897" s="48"/>
      <c r="E897" s="15"/>
      <c r="F897" s="15"/>
      <c r="T897" s="20"/>
    </row>
    <row r="898">
      <c r="D898" s="48"/>
      <c r="E898" s="15"/>
      <c r="F898" s="15"/>
      <c r="T898" s="20"/>
    </row>
    <row r="899">
      <c r="D899" s="48"/>
      <c r="E899" s="15"/>
      <c r="F899" s="15"/>
      <c r="T899" s="20"/>
    </row>
    <row r="900">
      <c r="D900" s="48"/>
      <c r="E900" s="15"/>
      <c r="F900" s="15"/>
      <c r="T900" s="20"/>
    </row>
    <row r="901">
      <c r="D901" s="48"/>
      <c r="E901" s="15"/>
      <c r="F901" s="15"/>
      <c r="T901" s="20"/>
    </row>
    <row r="902">
      <c r="D902" s="48"/>
      <c r="E902" s="15"/>
      <c r="F902" s="15"/>
      <c r="T902" s="20"/>
    </row>
    <row r="903">
      <c r="D903" s="48"/>
      <c r="E903" s="15"/>
      <c r="F903" s="15"/>
      <c r="T903" s="20"/>
    </row>
    <row r="904">
      <c r="D904" s="48"/>
      <c r="E904" s="15"/>
      <c r="F904" s="15"/>
      <c r="T904" s="20"/>
    </row>
    <row r="905">
      <c r="D905" s="48"/>
      <c r="E905" s="15"/>
      <c r="F905" s="15"/>
      <c r="T905" s="20"/>
    </row>
    <row r="906">
      <c r="D906" s="48"/>
      <c r="E906" s="15"/>
      <c r="F906" s="15"/>
      <c r="T906" s="20"/>
    </row>
    <row r="907">
      <c r="D907" s="48"/>
      <c r="E907" s="15"/>
      <c r="F907" s="15"/>
      <c r="T907" s="20"/>
    </row>
    <row r="908">
      <c r="D908" s="48"/>
      <c r="E908" s="15"/>
      <c r="F908" s="15"/>
      <c r="T908" s="20"/>
    </row>
    <row r="909">
      <c r="D909" s="48"/>
      <c r="E909" s="15"/>
      <c r="F909" s="15"/>
      <c r="T909" s="20"/>
    </row>
    <row r="910">
      <c r="D910" s="48"/>
      <c r="E910" s="15"/>
      <c r="F910" s="15"/>
      <c r="T910" s="20"/>
    </row>
    <row r="911">
      <c r="D911" s="48"/>
      <c r="E911" s="15"/>
      <c r="F911" s="15"/>
      <c r="T911" s="20"/>
    </row>
    <row r="912">
      <c r="D912" s="48"/>
      <c r="E912" s="15"/>
      <c r="F912" s="15"/>
      <c r="T912" s="20"/>
    </row>
    <row r="913">
      <c r="D913" s="48"/>
      <c r="E913" s="15"/>
      <c r="F913" s="15"/>
      <c r="T913" s="20"/>
    </row>
    <row r="914">
      <c r="D914" s="48"/>
      <c r="E914" s="15"/>
      <c r="F914" s="15"/>
      <c r="T914" s="20"/>
    </row>
    <row r="915">
      <c r="D915" s="48"/>
      <c r="E915" s="15"/>
      <c r="F915" s="15"/>
      <c r="T915" s="20"/>
    </row>
    <row r="916">
      <c r="D916" s="48"/>
      <c r="E916" s="15"/>
      <c r="F916" s="15"/>
      <c r="T916" s="20"/>
    </row>
    <row r="917">
      <c r="D917" s="48"/>
      <c r="E917" s="15"/>
      <c r="F917" s="15"/>
      <c r="T917" s="20"/>
    </row>
    <row r="918">
      <c r="D918" s="48"/>
      <c r="E918" s="15"/>
      <c r="F918" s="15"/>
      <c r="T918" s="20"/>
    </row>
    <row r="919">
      <c r="D919" s="48"/>
      <c r="E919" s="15"/>
      <c r="F919" s="15"/>
      <c r="T919" s="20"/>
    </row>
    <row r="920">
      <c r="D920" s="48"/>
      <c r="E920" s="15"/>
      <c r="F920" s="15"/>
      <c r="T920" s="20"/>
    </row>
    <row r="921">
      <c r="D921" s="48"/>
      <c r="E921" s="15"/>
      <c r="F921" s="15"/>
      <c r="T921" s="20"/>
    </row>
    <row r="922">
      <c r="D922" s="48"/>
      <c r="E922" s="15"/>
      <c r="F922" s="15"/>
      <c r="T922" s="20"/>
    </row>
    <row r="923">
      <c r="D923" s="48"/>
      <c r="E923" s="15"/>
      <c r="F923" s="15"/>
      <c r="T923" s="20"/>
    </row>
    <row r="924">
      <c r="D924" s="48"/>
      <c r="E924" s="15"/>
      <c r="F924" s="15"/>
      <c r="T924" s="20"/>
    </row>
    <row r="925">
      <c r="D925" s="48"/>
      <c r="E925" s="15"/>
      <c r="F925" s="15"/>
      <c r="T925" s="20"/>
    </row>
    <row r="926">
      <c r="D926" s="48"/>
      <c r="E926" s="15"/>
      <c r="F926" s="15"/>
      <c r="T926" s="20"/>
    </row>
    <row r="927">
      <c r="D927" s="48"/>
      <c r="E927" s="15"/>
      <c r="F927" s="15"/>
      <c r="T927" s="20"/>
    </row>
    <row r="928">
      <c r="D928" s="48"/>
      <c r="E928" s="15"/>
      <c r="F928" s="15"/>
      <c r="T928" s="20"/>
    </row>
    <row r="929">
      <c r="D929" s="48"/>
      <c r="E929" s="15"/>
      <c r="F929" s="15"/>
      <c r="T929" s="20"/>
    </row>
    <row r="930">
      <c r="D930" s="48"/>
      <c r="E930" s="15"/>
      <c r="F930" s="15"/>
      <c r="T930" s="20"/>
    </row>
    <row r="931">
      <c r="D931" s="48"/>
      <c r="E931" s="15"/>
      <c r="F931" s="15"/>
      <c r="T931" s="20"/>
    </row>
    <row r="932">
      <c r="D932" s="48"/>
      <c r="E932" s="15"/>
      <c r="F932" s="15"/>
      <c r="T932" s="20"/>
    </row>
    <row r="933">
      <c r="D933" s="48"/>
      <c r="E933" s="15"/>
      <c r="F933" s="15"/>
      <c r="T933" s="20"/>
    </row>
    <row r="934">
      <c r="D934" s="48"/>
      <c r="E934" s="15"/>
      <c r="F934" s="15"/>
      <c r="T934" s="20"/>
    </row>
    <row r="935">
      <c r="D935" s="48"/>
      <c r="E935" s="15"/>
      <c r="F935" s="15"/>
      <c r="T935" s="20"/>
    </row>
    <row r="936">
      <c r="D936" s="48"/>
      <c r="E936" s="15"/>
      <c r="F936" s="15"/>
      <c r="T936" s="20"/>
    </row>
    <row r="937">
      <c r="D937" s="48"/>
      <c r="E937" s="15"/>
      <c r="F937" s="15"/>
      <c r="T937" s="20"/>
    </row>
    <row r="938">
      <c r="D938" s="48"/>
      <c r="E938" s="15"/>
      <c r="F938" s="15"/>
      <c r="T938" s="20"/>
    </row>
    <row r="939">
      <c r="D939" s="48"/>
      <c r="E939" s="15"/>
      <c r="F939" s="15"/>
      <c r="T939" s="20"/>
    </row>
    <row r="940">
      <c r="D940" s="48"/>
      <c r="E940" s="15"/>
      <c r="F940" s="15"/>
      <c r="T940" s="20"/>
    </row>
    <row r="941">
      <c r="D941" s="48"/>
      <c r="E941" s="15"/>
      <c r="F941" s="15"/>
      <c r="T941" s="20"/>
    </row>
    <row r="942">
      <c r="D942" s="48"/>
      <c r="E942" s="15"/>
      <c r="F942" s="15"/>
      <c r="T942" s="20"/>
    </row>
    <row r="943">
      <c r="D943" s="48"/>
      <c r="E943" s="15"/>
      <c r="F943" s="15"/>
      <c r="T943" s="20"/>
    </row>
    <row r="944">
      <c r="D944" s="48"/>
      <c r="E944" s="15"/>
      <c r="F944" s="15"/>
      <c r="T944" s="20"/>
    </row>
    <row r="945">
      <c r="D945" s="48"/>
      <c r="E945" s="15"/>
      <c r="F945" s="15"/>
      <c r="T945" s="20"/>
    </row>
    <row r="946">
      <c r="D946" s="48"/>
      <c r="E946" s="15"/>
      <c r="F946" s="15"/>
      <c r="T946" s="20"/>
    </row>
    <row r="947">
      <c r="D947" s="48"/>
      <c r="E947" s="15"/>
      <c r="F947" s="15"/>
      <c r="T947" s="20"/>
    </row>
    <row r="948">
      <c r="D948" s="48"/>
      <c r="E948" s="15"/>
      <c r="F948" s="15"/>
      <c r="T948" s="20"/>
    </row>
    <row r="949">
      <c r="D949" s="48"/>
      <c r="E949" s="15"/>
      <c r="F949" s="15"/>
      <c r="T949" s="20"/>
    </row>
    <row r="950">
      <c r="D950" s="48"/>
      <c r="E950" s="15"/>
      <c r="F950" s="15"/>
      <c r="T950" s="20"/>
    </row>
    <row r="951">
      <c r="D951" s="48"/>
      <c r="E951" s="15"/>
      <c r="F951" s="15"/>
      <c r="T951" s="20"/>
    </row>
    <row r="952">
      <c r="D952" s="48"/>
      <c r="E952" s="15"/>
      <c r="F952" s="15"/>
      <c r="T952" s="20"/>
    </row>
    <row r="953">
      <c r="D953" s="48"/>
      <c r="E953" s="15"/>
      <c r="F953" s="15"/>
      <c r="T953" s="20"/>
    </row>
    <row r="954">
      <c r="D954" s="48"/>
      <c r="E954" s="15"/>
      <c r="F954" s="15"/>
      <c r="T954" s="20"/>
    </row>
    <row r="955">
      <c r="D955" s="48"/>
      <c r="E955" s="15"/>
      <c r="F955" s="15"/>
      <c r="T955" s="20"/>
    </row>
    <row r="956">
      <c r="D956" s="48"/>
      <c r="E956" s="15"/>
      <c r="F956" s="15"/>
      <c r="T956" s="20"/>
    </row>
    <row r="957">
      <c r="D957" s="48"/>
      <c r="E957" s="15"/>
      <c r="F957" s="15"/>
      <c r="T957" s="20"/>
    </row>
    <row r="958">
      <c r="D958" s="48"/>
      <c r="E958" s="15"/>
      <c r="F958" s="15"/>
      <c r="T958" s="20"/>
    </row>
    <row r="959">
      <c r="D959" s="48"/>
      <c r="E959" s="15"/>
      <c r="F959" s="15"/>
      <c r="T959" s="20"/>
    </row>
    <row r="960">
      <c r="D960" s="48"/>
      <c r="E960" s="15"/>
      <c r="F960" s="15"/>
      <c r="T960" s="20"/>
    </row>
    <row r="961">
      <c r="D961" s="48"/>
      <c r="E961" s="15"/>
      <c r="F961" s="15"/>
      <c r="T961" s="20"/>
    </row>
    <row r="962">
      <c r="D962" s="48"/>
      <c r="E962" s="15"/>
      <c r="F962" s="15"/>
      <c r="T962" s="20"/>
    </row>
    <row r="963">
      <c r="D963" s="48"/>
      <c r="E963" s="15"/>
      <c r="F963" s="15"/>
      <c r="T963" s="20"/>
    </row>
    <row r="964">
      <c r="D964" s="48"/>
      <c r="E964" s="15"/>
      <c r="F964" s="15"/>
      <c r="T964" s="20"/>
    </row>
    <row r="965">
      <c r="D965" s="48"/>
      <c r="E965" s="15"/>
      <c r="F965" s="15"/>
      <c r="T965" s="20"/>
    </row>
    <row r="966">
      <c r="D966" s="48"/>
      <c r="E966" s="15"/>
      <c r="F966" s="15"/>
      <c r="T966" s="20"/>
    </row>
    <row r="967">
      <c r="D967" s="48"/>
      <c r="E967" s="15"/>
      <c r="F967" s="15"/>
      <c r="T967" s="20"/>
    </row>
    <row r="968">
      <c r="D968" s="48"/>
      <c r="E968" s="15"/>
      <c r="F968" s="15"/>
      <c r="T968" s="20"/>
    </row>
    <row r="969">
      <c r="D969" s="48"/>
      <c r="E969" s="15"/>
      <c r="F969" s="15"/>
      <c r="T969" s="20"/>
    </row>
    <row r="970">
      <c r="D970" s="48"/>
      <c r="E970" s="15"/>
      <c r="F970" s="15"/>
      <c r="T970" s="20"/>
    </row>
    <row r="971">
      <c r="D971" s="48"/>
      <c r="E971" s="15"/>
      <c r="F971" s="15"/>
      <c r="T971" s="20"/>
    </row>
    <row r="972">
      <c r="D972" s="48"/>
      <c r="E972" s="15"/>
      <c r="F972" s="15"/>
      <c r="T972" s="20"/>
    </row>
    <row r="973">
      <c r="D973" s="48"/>
      <c r="E973" s="15"/>
      <c r="F973" s="15"/>
      <c r="T973" s="20"/>
    </row>
    <row r="974">
      <c r="D974" s="48"/>
      <c r="E974" s="15"/>
      <c r="F974" s="15"/>
      <c r="T974" s="20"/>
    </row>
    <row r="975">
      <c r="D975" s="48"/>
      <c r="E975" s="15"/>
      <c r="F975" s="15"/>
      <c r="T975" s="20"/>
    </row>
    <row r="976">
      <c r="D976" s="48"/>
      <c r="E976" s="15"/>
      <c r="F976" s="15"/>
      <c r="T976" s="20"/>
    </row>
    <row r="977">
      <c r="D977" s="48"/>
      <c r="E977" s="15"/>
      <c r="F977" s="15"/>
      <c r="T977" s="20"/>
    </row>
    <row r="978">
      <c r="D978" s="48"/>
      <c r="E978" s="15"/>
      <c r="F978" s="15"/>
      <c r="T978" s="20"/>
    </row>
    <row r="979">
      <c r="D979" s="48"/>
      <c r="E979" s="15"/>
      <c r="F979" s="15"/>
      <c r="T979" s="20"/>
    </row>
    <row r="980">
      <c r="D980" s="48"/>
      <c r="E980" s="15"/>
      <c r="F980" s="15"/>
      <c r="T980" s="20"/>
    </row>
    <row r="981">
      <c r="D981" s="48"/>
      <c r="E981" s="15"/>
      <c r="F981" s="15"/>
      <c r="T981" s="20"/>
    </row>
    <row r="982">
      <c r="D982" s="48"/>
      <c r="E982" s="15"/>
      <c r="F982" s="15"/>
      <c r="T982" s="20"/>
    </row>
    <row r="983">
      <c r="D983" s="48"/>
      <c r="E983" s="15"/>
      <c r="F983" s="15"/>
      <c r="T983" s="20"/>
    </row>
    <row r="984">
      <c r="D984" s="48"/>
      <c r="E984" s="15"/>
      <c r="F984" s="15"/>
      <c r="T984" s="20"/>
    </row>
    <row r="985">
      <c r="D985" s="48"/>
      <c r="E985" s="15"/>
      <c r="F985" s="15"/>
      <c r="T985" s="20"/>
    </row>
    <row r="986">
      <c r="D986" s="48"/>
      <c r="E986" s="15"/>
      <c r="F986" s="15"/>
      <c r="T986" s="20"/>
    </row>
    <row r="987">
      <c r="D987" s="48"/>
      <c r="E987" s="15"/>
      <c r="F987" s="15"/>
      <c r="T987" s="20"/>
    </row>
    <row r="988">
      <c r="D988" s="48"/>
      <c r="E988" s="15"/>
      <c r="F988" s="15"/>
      <c r="T988" s="20"/>
    </row>
    <row r="989">
      <c r="D989" s="48"/>
      <c r="E989" s="15"/>
      <c r="F989" s="15"/>
      <c r="T989" s="20"/>
    </row>
    <row r="990">
      <c r="D990" s="48"/>
      <c r="E990" s="15"/>
      <c r="F990" s="15"/>
      <c r="T990" s="20"/>
    </row>
    <row r="991">
      <c r="D991" s="48"/>
      <c r="E991" s="15"/>
      <c r="F991" s="15"/>
      <c r="T991" s="20"/>
    </row>
    <row r="992">
      <c r="D992" s="48"/>
      <c r="E992" s="15"/>
      <c r="F992" s="15"/>
      <c r="T992" s="20"/>
    </row>
    <row r="993">
      <c r="D993" s="48"/>
      <c r="E993" s="15"/>
      <c r="F993" s="15"/>
      <c r="T993" s="20"/>
    </row>
    <row r="994">
      <c r="D994" s="48"/>
      <c r="E994" s="15"/>
      <c r="F994" s="15"/>
      <c r="T994" s="20"/>
    </row>
    <row r="995">
      <c r="D995" s="48"/>
      <c r="E995" s="15"/>
      <c r="F995" s="15"/>
      <c r="T995" s="20"/>
    </row>
    <row r="996">
      <c r="D996" s="48"/>
      <c r="E996" s="15"/>
      <c r="F996" s="15"/>
      <c r="T996" s="20"/>
    </row>
    <row r="997">
      <c r="D997" s="48"/>
      <c r="E997" s="15"/>
      <c r="F997" s="15"/>
      <c r="T997" s="20"/>
    </row>
    <row r="998">
      <c r="D998" s="48"/>
      <c r="E998" s="15"/>
      <c r="F998" s="15"/>
      <c r="T998" s="20"/>
    </row>
    <row r="999">
      <c r="D999" s="48"/>
      <c r="E999" s="15"/>
      <c r="F999" s="15"/>
      <c r="T999" s="20"/>
    </row>
    <row r="1000">
      <c r="D1000" s="48"/>
      <c r="E1000" s="15"/>
      <c r="F1000" s="15"/>
      <c r="T1000" s="20"/>
    </row>
    <row r="1001">
      <c r="D1001" s="48"/>
      <c r="E1001" s="15"/>
      <c r="F1001" s="15"/>
      <c r="T1001" s="20"/>
    </row>
    <row r="1002">
      <c r="D1002" s="48"/>
      <c r="E1002" s="15"/>
      <c r="F1002" s="15"/>
      <c r="T1002" s="20"/>
    </row>
    <row r="1003">
      <c r="D1003" s="48"/>
      <c r="E1003" s="15"/>
      <c r="F1003" s="15"/>
      <c r="T1003" s="20"/>
    </row>
    <row r="1004">
      <c r="D1004" s="48"/>
      <c r="E1004" s="15"/>
      <c r="F1004" s="15"/>
      <c r="T1004" s="20"/>
    </row>
    <row r="1005">
      <c r="D1005" s="48"/>
      <c r="E1005" s="15"/>
      <c r="F1005" s="15"/>
      <c r="T1005" s="20"/>
    </row>
    <row r="1006">
      <c r="D1006" s="48"/>
      <c r="E1006" s="15"/>
      <c r="F1006" s="15"/>
      <c r="T1006" s="20"/>
    </row>
    <row r="1007">
      <c r="D1007" s="48"/>
      <c r="E1007" s="15"/>
      <c r="F1007" s="15"/>
      <c r="T1007" s="20"/>
    </row>
    <row r="1008">
      <c r="D1008" s="48"/>
      <c r="E1008" s="15"/>
      <c r="F1008" s="15"/>
      <c r="T1008" s="20"/>
    </row>
    <row r="1009">
      <c r="D1009" s="48"/>
      <c r="E1009" s="15"/>
      <c r="F1009" s="15"/>
      <c r="T1009" s="20"/>
    </row>
    <row r="1010">
      <c r="D1010" s="48"/>
      <c r="E1010" s="15"/>
      <c r="F1010" s="15"/>
      <c r="T1010" s="20"/>
    </row>
    <row r="1011">
      <c r="D1011" s="48"/>
      <c r="E1011" s="15"/>
      <c r="F1011" s="15"/>
      <c r="T1011" s="20"/>
    </row>
    <row r="1012">
      <c r="D1012" s="48"/>
      <c r="E1012" s="15"/>
      <c r="F1012" s="15"/>
      <c r="T1012" s="20"/>
    </row>
    <row r="1013">
      <c r="D1013" s="48"/>
      <c r="E1013" s="15"/>
      <c r="F1013" s="15"/>
      <c r="T1013" s="20"/>
    </row>
    <row r="1014">
      <c r="D1014" s="48"/>
      <c r="E1014" s="15"/>
      <c r="F1014" s="15"/>
      <c r="T1014" s="20"/>
    </row>
    <row r="1015">
      <c r="D1015" s="48"/>
      <c r="E1015" s="15"/>
      <c r="F1015" s="15"/>
      <c r="T1015" s="20"/>
    </row>
    <row r="1016">
      <c r="D1016" s="48"/>
      <c r="E1016" s="15"/>
      <c r="F1016" s="15"/>
      <c r="T1016" s="20"/>
    </row>
    <row r="1017">
      <c r="D1017" s="48"/>
      <c r="E1017" s="15"/>
      <c r="F1017" s="15"/>
      <c r="T1017" s="20"/>
    </row>
    <row r="1018">
      <c r="D1018" s="48"/>
      <c r="E1018" s="15"/>
      <c r="F1018" s="15"/>
      <c r="T1018" s="20"/>
    </row>
    <row r="1019">
      <c r="D1019" s="48"/>
      <c r="E1019" s="15"/>
      <c r="F1019" s="15"/>
      <c r="T1019" s="20"/>
    </row>
  </sheetData>
  <hyperlinks>
    <hyperlink r:id="rId4" ref="C2"/>
    <hyperlink r:id="rId5" ref="C3"/>
    <hyperlink r:id="rId6" ref="C4"/>
    <hyperlink r:id="rId7" ref="C5"/>
    <hyperlink r:id="rId8" ref="C6"/>
    <hyperlink r:id="rId9" ref="C7"/>
    <hyperlink r:id="rId10" ref="C8"/>
    <hyperlink r:id="rId11" ref="C9"/>
    <hyperlink r:id="rId12" ref="C10"/>
    <hyperlink r:id="rId13" ref="C11"/>
    <hyperlink r:id="rId14" ref="C12"/>
    <hyperlink r:id="rId15" ref="C13"/>
    <hyperlink r:id="rId16" ref="C14"/>
    <hyperlink r:id="rId17" ref="C40"/>
    <hyperlink r:id="rId18" ref="C45"/>
    <hyperlink r:id="rId19" ref="C46"/>
    <hyperlink r:id="rId20" ref="C54"/>
    <hyperlink r:id="rId21" ref="C55"/>
    <hyperlink r:id="rId22" ref="C56"/>
    <hyperlink r:id="rId23" ref="C57"/>
    <hyperlink r:id="rId24" ref="C58"/>
    <hyperlink r:id="rId25" ref="C59"/>
    <hyperlink r:id="rId26" ref="C61"/>
    <hyperlink r:id="rId27" ref="C62"/>
    <hyperlink r:id="rId28" ref="C63"/>
    <hyperlink r:id="rId29" ref="C64"/>
    <hyperlink r:id="rId30" ref="C65"/>
    <hyperlink r:id="rId31" ref="C66"/>
    <hyperlink r:id="rId32" ref="C67"/>
    <hyperlink r:id="rId33" ref="C68"/>
    <hyperlink r:id="rId34" ref="C69"/>
    <hyperlink r:id="rId35" ref="C70"/>
    <hyperlink r:id="rId36" ref="C71"/>
    <hyperlink r:id="rId37" ref="C72"/>
    <hyperlink r:id="rId38" ref="C73"/>
    <hyperlink r:id="rId39" ref="C74"/>
    <hyperlink r:id="rId40" ref="C75"/>
    <hyperlink r:id="rId41" ref="C76"/>
    <hyperlink r:id="rId42" ref="C77"/>
    <hyperlink r:id="rId43" ref="C78"/>
    <hyperlink r:id="rId44" ref="C79"/>
    <hyperlink r:id="rId45" ref="C80"/>
    <hyperlink r:id="rId46" ref="C81"/>
    <hyperlink r:id="rId47" ref="C82"/>
    <hyperlink r:id="rId48" ref="C83"/>
    <hyperlink r:id="rId49" ref="C84"/>
    <hyperlink r:id="rId50" ref="C85"/>
    <hyperlink r:id="rId51" ref="C86"/>
    <hyperlink r:id="rId52" ref="C87"/>
    <hyperlink r:id="rId53" ref="C88"/>
    <hyperlink r:id="rId54" ref="C89"/>
    <hyperlink r:id="rId55" ref="C90"/>
    <hyperlink r:id="rId56" ref="C91"/>
    <hyperlink r:id="rId57" ref="C92"/>
    <hyperlink r:id="rId58" ref="C93"/>
    <hyperlink r:id="rId59" ref="C95"/>
    <hyperlink r:id="rId60" ref="C96"/>
    <hyperlink r:id="rId61" ref="C97"/>
    <hyperlink r:id="rId62" ref="C98"/>
    <hyperlink r:id="rId63" ref="C99"/>
    <hyperlink r:id="rId64" ref="C100"/>
    <hyperlink r:id="rId65" ref="C101"/>
    <hyperlink r:id="rId66" ref="C102"/>
    <hyperlink r:id="rId67" ref="C103"/>
    <hyperlink r:id="rId68" ref="C104"/>
    <hyperlink r:id="rId69" ref="C105"/>
    <hyperlink r:id="rId70" ref="C106"/>
    <hyperlink r:id="rId71" ref="G107"/>
    <hyperlink r:id="rId72" ref="W113"/>
    <hyperlink r:id="rId73" ref="G117"/>
    <hyperlink r:id="rId74" ref="G119"/>
    <hyperlink r:id="rId75" ref="G120"/>
    <hyperlink r:id="rId76" ref="G122"/>
    <hyperlink r:id="rId77" ref="G123"/>
    <hyperlink r:id="rId78" ref="G124"/>
    <hyperlink r:id="rId79" ref="G127"/>
    <hyperlink r:id="rId80" ref="G128"/>
    <hyperlink r:id="rId81" ref="G131"/>
    <hyperlink r:id="rId82" ref="G133"/>
    <hyperlink r:id="rId83" ref="G139"/>
    <hyperlink r:id="rId84" ref="G144"/>
    <hyperlink r:id="rId85" ref="G145"/>
    <hyperlink r:id="rId86" ref="G146"/>
    <hyperlink r:id="rId87" ref="G147"/>
    <hyperlink r:id="rId88" ref="G149"/>
    <hyperlink r:id="rId89" ref="G150"/>
    <hyperlink r:id="rId90" ref="G153"/>
    <hyperlink r:id="rId91" ref="G157"/>
    <hyperlink r:id="rId92" ref="G159"/>
    <hyperlink r:id="rId93" ref="D162"/>
    <hyperlink r:id="rId94" ref="D163"/>
    <hyperlink r:id="rId95" ref="G164"/>
    <hyperlink r:id="rId96" ref="T164"/>
    <hyperlink r:id="rId97" ref="C169"/>
    <hyperlink r:id="rId98" ref="G169"/>
    <hyperlink r:id="rId99" ref="C170"/>
    <hyperlink r:id="rId100" ref="C171"/>
    <hyperlink r:id="rId101" ref="C172"/>
    <hyperlink r:id="rId102" ref="C173"/>
    <hyperlink r:id="rId103" ref="C174"/>
    <hyperlink r:id="rId104" ref="C175"/>
    <hyperlink r:id="rId105" ref="C176"/>
    <hyperlink r:id="rId106" ref="C177"/>
    <hyperlink r:id="rId107" ref="C178"/>
    <hyperlink r:id="rId108" ref="C179"/>
    <hyperlink r:id="rId109" ref="C180"/>
    <hyperlink r:id="rId110" ref="G181"/>
    <hyperlink r:id="rId111" ref="G184"/>
    <hyperlink r:id="rId112" ref="C185"/>
    <hyperlink r:id="rId113" ref="C186"/>
    <hyperlink r:id="rId114" ref="C187"/>
    <hyperlink r:id="rId115" ref="C188"/>
    <hyperlink r:id="rId116" ref="C189"/>
    <hyperlink r:id="rId117" ref="C190"/>
    <hyperlink r:id="rId118" ref="C191"/>
    <hyperlink r:id="rId119" ref="C192"/>
    <hyperlink r:id="rId120" ref="C193"/>
    <hyperlink r:id="rId121" ref="C194"/>
    <hyperlink r:id="rId122" ref="C195"/>
    <hyperlink r:id="rId123" ref="G197"/>
    <hyperlink r:id="rId124" ref="C198"/>
    <hyperlink r:id="rId125" ref="C199"/>
    <hyperlink r:id="rId126" ref="C200"/>
    <hyperlink r:id="rId127" ref="C201"/>
    <hyperlink r:id="rId128" ref="C202"/>
    <hyperlink r:id="rId129" ref="C203"/>
    <hyperlink r:id="rId130" ref="C204"/>
    <hyperlink r:id="rId131" ref="C205"/>
    <hyperlink r:id="rId132" ref="C206"/>
    <hyperlink r:id="rId133" ref="C209"/>
    <hyperlink r:id="rId134" ref="C210"/>
    <hyperlink r:id="rId135" ref="C211"/>
    <hyperlink r:id="rId136" ref="C212"/>
    <hyperlink r:id="rId137" ref="C213"/>
    <hyperlink r:id="rId138" ref="C214"/>
    <hyperlink r:id="rId139" ref="C215"/>
    <hyperlink r:id="rId140" ref="C216"/>
    <hyperlink r:id="rId141" ref="G217"/>
    <hyperlink r:id="rId142" ref="C218"/>
    <hyperlink r:id="rId143" ref="C219"/>
    <hyperlink r:id="rId144" ref="C220"/>
    <hyperlink r:id="rId145" ref="C221"/>
    <hyperlink r:id="rId146" ref="C222"/>
    <hyperlink r:id="rId147" ref="C223"/>
    <hyperlink r:id="rId148" ref="C224"/>
    <hyperlink r:id="rId149" ref="C225"/>
    <hyperlink r:id="rId150" ref="C226"/>
    <hyperlink r:id="rId151" ref="C227"/>
    <hyperlink r:id="rId152" ref="C228"/>
    <hyperlink r:id="rId153" ref="C229"/>
    <hyperlink r:id="rId154" ref="C230"/>
    <hyperlink r:id="rId155" ref="C231"/>
    <hyperlink r:id="rId156" ref="C232"/>
    <hyperlink r:id="rId157" ref="C233"/>
    <hyperlink r:id="rId158" ref="C234"/>
    <hyperlink r:id="rId159" ref="C235"/>
    <hyperlink r:id="rId160" ref="C236"/>
    <hyperlink r:id="rId161" ref="C237"/>
    <hyperlink r:id="rId162" ref="C238"/>
    <hyperlink r:id="rId163" ref="C239"/>
    <hyperlink r:id="rId164" ref="C240"/>
    <hyperlink r:id="rId165" ref="C241"/>
    <hyperlink r:id="rId166" ref="C242"/>
    <hyperlink r:id="rId167" ref="C243"/>
    <hyperlink r:id="rId168" ref="G244"/>
    <hyperlink r:id="rId169" ref="C245"/>
    <hyperlink r:id="rId170" ref="C246"/>
    <hyperlink r:id="rId171" ref="C247"/>
    <hyperlink r:id="rId172" ref="C248"/>
    <hyperlink r:id="rId173" ref="C249"/>
    <hyperlink r:id="rId174" ref="C250"/>
    <hyperlink r:id="rId175" ref="C251"/>
    <hyperlink r:id="rId176" ref="C252"/>
    <hyperlink r:id="rId177" ref="C253"/>
    <hyperlink r:id="rId178" ref="C254"/>
    <hyperlink r:id="rId179" ref="C255"/>
    <hyperlink r:id="rId180" ref="C257"/>
    <hyperlink r:id="rId181" ref="C258"/>
    <hyperlink r:id="rId182" ref="C259"/>
    <hyperlink r:id="rId183" ref="C260"/>
    <hyperlink r:id="rId184" ref="C261"/>
    <hyperlink r:id="rId185" ref="C262"/>
    <hyperlink r:id="rId186" ref="C263"/>
    <hyperlink r:id="rId187" ref="C264"/>
    <hyperlink r:id="rId188" ref="C265"/>
    <hyperlink r:id="rId189" ref="C266"/>
    <hyperlink r:id="rId190" ref="C267"/>
    <hyperlink r:id="rId191" ref="C268"/>
    <hyperlink r:id="rId192" ref="C269"/>
    <hyperlink r:id="rId193" ref="C270"/>
    <hyperlink r:id="rId194" ref="C271"/>
    <hyperlink r:id="rId195" ref="C272"/>
    <hyperlink r:id="rId196" ref="C273"/>
    <hyperlink r:id="rId197" ref="C274"/>
    <hyperlink r:id="rId198" ref="C275"/>
    <hyperlink r:id="rId199" ref="C276"/>
    <hyperlink r:id="rId200" ref="C277"/>
    <hyperlink r:id="rId201" ref="C278"/>
    <hyperlink r:id="rId202" ref="C279"/>
    <hyperlink r:id="rId203" ref="C280"/>
    <hyperlink r:id="rId204" ref="C281"/>
    <hyperlink r:id="rId205" ref="C282"/>
    <hyperlink r:id="rId206" ref="C283"/>
    <hyperlink r:id="rId207" ref="C284"/>
    <hyperlink r:id="rId208" ref="C285"/>
    <hyperlink r:id="rId209" ref="C286"/>
    <hyperlink r:id="rId210" ref="C287"/>
    <hyperlink r:id="rId211" ref="C288"/>
    <hyperlink r:id="rId212" ref="C289"/>
    <hyperlink r:id="rId213" ref="C290"/>
    <hyperlink r:id="rId214" ref="C291"/>
    <hyperlink r:id="rId215" ref="C292"/>
    <hyperlink r:id="rId216" ref="C293"/>
    <hyperlink r:id="rId217" ref="C294"/>
  </hyperlinks>
  <drawing r:id="rId218"/>
  <legacyDrawing r:id="rId2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9.75"/>
  </cols>
  <sheetData>
    <row r="1">
      <c r="A1" s="21" t="s">
        <v>864</v>
      </c>
      <c r="B1" s="21" t="s">
        <v>865</v>
      </c>
      <c r="C1" s="21" t="s">
        <v>10</v>
      </c>
      <c r="D1" s="21" t="s">
        <v>11</v>
      </c>
    </row>
    <row r="2">
      <c r="A2" s="21" t="s">
        <v>294</v>
      </c>
      <c r="B2" s="21" t="s">
        <v>448</v>
      </c>
      <c r="C2" s="21">
        <v>-6.7</v>
      </c>
      <c r="D2" s="21">
        <v>107.5</v>
      </c>
    </row>
    <row r="3">
      <c r="A3" s="21" t="s">
        <v>298</v>
      </c>
      <c r="B3" s="21" t="s">
        <v>448</v>
      </c>
      <c r="C3" s="21">
        <v>-6.7</v>
      </c>
      <c r="D3" s="21">
        <v>107.5</v>
      </c>
    </row>
    <row r="4">
      <c r="A4" s="21" t="s">
        <v>301</v>
      </c>
      <c r="B4" s="21" t="s">
        <v>448</v>
      </c>
      <c r="C4" s="21">
        <v>-6.7</v>
      </c>
      <c r="D4" s="21">
        <v>107.5</v>
      </c>
    </row>
    <row r="5">
      <c r="A5" s="21" t="s">
        <v>213</v>
      </c>
      <c r="B5" s="21" t="s">
        <v>866</v>
      </c>
      <c r="C5" s="21">
        <v>-3.5</v>
      </c>
      <c r="D5" s="21">
        <v>120.0</v>
      </c>
    </row>
    <row r="6">
      <c r="A6" s="21" t="s">
        <v>213</v>
      </c>
      <c r="B6" s="21" t="s">
        <v>866</v>
      </c>
      <c r="C6" s="21">
        <v>-3.5</v>
      </c>
      <c r="D6" s="21">
        <v>120.0</v>
      </c>
    </row>
    <row r="7">
      <c r="A7" s="21" t="s">
        <v>287</v>
      </c>
      <c r="B7" s="21" t="s">
        <v>866</v>
      </c>
      <c r="C7" s="21">
        <v>-3.5</v>
      </c>
      <c r="D7" s="21">
        <v>120.0</v>
      </c>
    </row>
    <row r="8">
      <c r="A8" s="21" t="s">
        <v>283</v>
      </c>
      <c r="B8" s="21" t="s">
        <v>867</v>
      </c>
      <c r="C8" s="21">
        <v>-6.7</v>
      </c>
      <c r="D8" s="21">
        <v>107.5</v>
      </c>
    </row>
    <row r="9">
      <c r="A9" s="21" t="s">
        <v>213</v>
      </c>
      <c r="B9" s="21" t="s">
        <v>866</v>
      </c>
      <c r="C9" s="21">
        <v>-3.5</v>
      </c>
      <c r="D9" s="21">
        <v>120.0</v>
      </c>
    </row>
    <row r="10">
      <c r="A10" s="21" t="s">
        <v>269</v>
      </c>
      <c r="B10" s="21" t="s">
        <v>867</v>
      </c>
      <c r="C10" s="21">
        <v>-6.7</v>
      </c>
      <c r="D10" s="21">
        <v>107.5</v>
      </c>
    </row>
    <row r="11">
      <c r="A11" s="21" t="s">
        <v>273</v>
      </c>
      <c r="B11" s="21" t="s">
        <v>867</v>
      </c>
      <c r="C11" s="21">
        <v>-6.7</v>
      </c>
      <c r="D11" s="21">
        <v>107.5</v>
      </c>
    </row>
    <row r="12">
      <c r="A12" s="21" t="s">
        <v>278</v>
      </c>
      <c r="B12" s="21" t="s">
        <v>867</v>
      </c>
      <c r="C12" s="21">
        <v>-6.7</v>
      </c>
      <c r="D12" s="21">
        <v>107.5</v>
      </c>
    </row>
    <row r="13">
      <c r="A13" s="21" t="s">
        <v>257</v>
      </c>
      <c r="B13" s="21" t="s">
        <v>867</v>
      </c>
      <c r="C13" s="21">
        <v>-6.7</v>
      </c>
      <c r="D13" s="21">
        <v>107.5</v>
      </c>
    </row>
    <row r="14">
      <c r="A14" s="21" t="s">
        <v>261</v>
      </c>
      <c r="B14" s="21" t="s">
        <v>867</v>
      </c>
      <c r="C14" s="21">
        <v>-6.7</v>
      </c>
      <c r="D14" s="21">
        <v>107.5</v>
      </c>
    </row>
    <row r="15">
      <c r="A15" s="21" t="s">
        <v>253</v>
      </c>
      <c r="B15" s="21" t="s">
        <v>866</v>
      </c>
      <c r="C15" s="21">
        <v>-3.5</v>
      </c>
      <c r="D15" s="21">
        <v>120.0</v>
      </c>
    </row>
    <row r="16">
      <c r="A16" s="21" t="s">
        <v>265</v>
      </c>
      <c r="B16" s="21" t="s">
        <v>868</v>
      </c>
      <c r="C16" s="21">
        <v>-3.5</v>
      </c>
      <c r="D16" s="21">
        <v>103.5</v>
      </c>
    </row>
    <row r="17">
      <c r="A17" s="21" t="s">
        <v>249</v>
      </c>
      <c r="B17" s="21" t="s">
        <v>229</v>
      </c>
      <c r="C17" s="21">
        <v>-8.3</v>
      </c>
      <c r="D17" s="21">
        <v>115.2</v>
      </c>
    </row>
    <row r="18">
      <c r="A18" s="21" t="s">
        <v>181</v>
      </c>
      <c r="B18" s="21" t="s">
        <v>869</v>
      </c>
      <c r="C18" s="21">
        <v>-7.0</v>
      </c>
      <c r="D18" s="21">
        <v>113.3</v>
      </c>
    </row>
    <row r="19">
      <c r="A19" s="21" t="s">
        <v>240</v>
      </c>
      <c r="B19" s="21" t="s">
        <v>420</v>
      </c>
      <c r="C19" s="21">
        <v>0.0</v>
      </c>
      <c r="D19" s="21">
        <v>111.0</v>
      </c>
    </row>
    <row r="20">
      <c r="A20" s="21" t="s">
        <v>244</v>
      </c>
      <c r="B20" s="21" t="s">
        <v>308</v>
      </c>
      <c r="C20" s="21">
        <v>-0.5</v>
      </c>
      <c r="D20" s="21">
        <v>116.5</v>
      </c>
    </row>
    <row r="21">
      <c r="A21" s="21" t="s">
        <v>229</v>
      </c>
      <c r="B21" s="21" t="s">
        <v>229</v>
      </c>
      <c r="C21" s="21">
        <v>-8.3</v>
      </c>
      <c r="D21" s="21">
        <v>115.2</v>
      </c>
    </row>
    <row r="22">
      <c r="A22" s="21" t="s">
        <v>213</v>
      </c>
      <c r="B22" s="21" t="s">
        <v>866</v>
      </c>
      <c r="C22" s="21">
        <v>-3.5</v>
      </c>
      <c r="D22" s="21">
        <v>120.0</v>
      </c>
    </row>
    <row r="23">
      <c r="A23" s="21" t="s">
        <v>217</v>
      </c>
      <c r="B23" s="21" t="s">
        <v>870</v>
      </c>
      <c r="C23" s="21">
        <v>-6.7</v>
      </c>
      <c r="D23" s="21">
        <v>107.5</v>
      </c>
    </row>
    <row r="24">
      <c r="A24" s="21" t="s">
        <v>221</v>
      </c>
      <c r="B24" s="21" t="s">
        <v>870</v>
      </c>
      <c r="C24" s="21">
        <v>-6.7</v>
      </c>
      <c r="D24" s="21">
        <v>107.5</v>
      </c>
    </row>
    <row r="25">
      <c r="A25" s="21" t="s">
        <v>225</v>
      </c>
      <c r="B25" s="21" t="s">
        <v>870</v>
      </c>
      <c r="C25" s="21">
        <v>-6.7</v>
      </c>
      <c r="D25" s="21">
        <v>107.5</v>
      </c>
    </row>
    <row r="26">
      <c r="A26" s="21" t="s">
        <v>233</v>
      </c>
      <c r="B26" s="21" t="s">
        <v>871</v>
      </c>
      <c r="C26" s="21">
        <v>-6.7</v>
      </c>
      <c r="D26" s="21">
        <v>107.5</v>
      </c>
    </row>
    <row r="27">
      <c r="A27" s="21" t="s">
        <v>209</v>
      </c>
      <c r="B27" s="21" t="s">
        <v>872</v>
      </c>
      <c r="C27" s="21">
        <v>-0.5</v>
      </c>
      <c r="D27" s="21">
        <v>114.5</v>
      </c>
    </row>
    <row r="28">
      <c r="A28" s="21" t="s">
        <v>205</v>
      </c>
      <c r="B28" s="21" t="s">
        <v>872</v>
      </c>
      <c r="C28" s="21">
        <v>-0.5</v>
      </c>
      <c r="D28" s="21">
        <v>114.5</v>
      </c>
    </row>
    <row r="29">
      <c r="A29" s="21" t="s">
        <v>201</v>
      </c>
      <c r="B29" s="21" t="s">
        <v>868</v>
      </c>
      <c r="C29" s="21">
        <v>-3.5</v>
      </c>
      <c r="D29" s="21">
        <v>103.5</v>
      </c>
    </row>
    <row r="30">
      <c r="A30" s="21" t="s">
        <v>197</v>
      </c>
      <c r="B30" s="21" t="s">
        <v>866</v>
      </c>
      <c r="C30" s="21">
        <v>-3.5</v>
      </c>
      <c r="D30" s="21">
        <v>120.0</v>
      </c>
    </row>
    <row r="31">
      <c r="A31" s="21" t="s">
        <v>117</v>
      </c>
      <c r="B31" s="21" t="s">
        <v>420</v>
      </c>
      <c r="C31" s="21">
        <v>0.0</v>
      </c>
      <c r="D31" s="21">
        <v>111.0</v>
      </c>
    </row>
    <row r="32">
      <c r="A32" s="21" t="s">
        <v>181</v>
      </c>
      <c r="B32" s="21" t="s">
        <v>869</v>
      </c>
      <c r="C32" s="21">
        <v>-7.0</v>
      </c>
      <c r="D32" s="21">
        <v>113.3</v>
      </c>
    </row>
    <row r="33">
      <c r="A33" s="21" t="s">
        <v>181</v>
      </c>
      <c r="B33" s="21" t="s">
        <v>869</v>
      </c>
      <c r="C33" s="21">
        <v>-7.0</v>
      </c>
      <c r="D33" s="21">
        <v>113.3</v>
      </c>
    </row>
    <row r="34">
      <c r="A34" s="21" t="s">
        <v>171</v>
      </c>
      <c r="B34" s="21" t="s">
        <v>707</v>
      </c>
      <c r="C34" s="21">
        <v>-1.5</v>
      </c>
      <c r="D34" s="21">
        <v>113.5</v>
      </c>
    </row>
    <row r="35">
      <c r="A35" s="21" t="s">
        <v>178</v>
      </c>
      <c r="B35" s="21" t="s">
        <v>873</v>
      </c>
      <c r="C35" s="21">
        <v>3.0</v>
      </c>
      <c r="D35" s="21">
        <v>116.0</v>
      </c>
    </row>
    <row r="36">
      <c r="A36" s="21" t="s">
        <v>173</v>
      </c>
      <c r="B36" s="21" t="s">
        <v>873</v>
      </c>
      <c r="C36" s="21">
        <v>3.0</v>
      </c>
      <c r="D36" s="21">
        <v>116.0</v>
      </c>
    </row>
    <row r="37">
      <c r="A37" s="21" t="s">
        <v>185</v>
      </c>
      <c r="B37" s="21" t="s">
        <v>872</v>
      </c>
      <c r="C37" s="21">
        <v>-0.5</v>
      </c>
      <c r="D37" s="21">
        <v>114.5</v>
      </c>
    </row>
    <row r="38">
      <c r="A38" s="21" t="s">
        <v>180</v>
      </c>
      <c r="B38" s="21" t="s">
        <v>874</v>
      </c>
      <c r="C38" s="21">
        <v>-3.0</v>
      </c>
      <c r="D38" s="21">
        <v>114.5</v>
      </c>
    </row>
    <row r="39">
      <c r="A39" s="21" t="s">
        <v>166</v>
      </c>
      <c r="B39" s="21" t="s">
        <v>875</v>
      </c>
      <c r="C39" s="21">
        <v>-8.5</v>
      </c>
      <c r="D39" s="21">
        <v>116.3</v>
      </c>
    </row>
    <row r="40">
      <c r="A40" s="21" t="s">
        <v>177</v>
      </c>
      <c r="B40" s="21" t="s">
        <v>875</v>
      </c>
      <c r="C40" s="21">
        <v>-8.5</v>
      </c>
      <c r="D40" s="21">
        <v>116.3</v>
      </c>
    </row>
    <row r="41">
      <c r="A41" s="21" t="s">
        <v>190</v>
      </c>
      <c r="B41" s="21" t="s">
        <v>875</v>
      </c>
      <c r="C41" s="21">
        <v>-8.5</v>
      </c>
      <c r="D41" s="21">
        <v>116.3</v>
      </c>
    </row>
    <row r="42">
      <c r="A42" s="21" t="s">
        <v>143</v>
      </c>
      <c r="B42" s="21" t="s">
        <v>666</v>
      </c>
      <c r="C42" s="21">
        <v>1.0</v>
      </c>
      <c r="D42" s="21">
        <v>124.8</v>
      </c>
    </row>
    <row r="43">
      <c r="A43" s="21" t="s">
        <v>876</v>
      </c>
      <c r="B43" s="21" t="s">
        <v>308</v>
      </c>
      <c r="C43" s="21">
        <v>-0.5</v>
      </c>
      <c r="D43" s="21">
        <v>116.5</v>
      </c>
    </row>
    <row r="44">
      <c r="A44" s="21" t="s">
        <v>876</v>
      </c>
      <c r="B44" s="21" t="s">
        <v>308</v>
      </c>
      <c r="C44" s="21">
        <v>-0.5</v>
      </c>
      <c r="D44" s="21">
        <v>116.5</v>
      </c>
    </row>
    <row r="45">
      <c r="A45" s="21" t="s">
        <v>162</v>
      </c>
      <c r="B45" s="21" t="s">
        <v>877</v>
      </c>
      <c r="C45" s="21">
        <v>5.5</v>
      </c>
      <c r="D45" s="21">
        <v>95.3</v>
      </c>
    </row>
    <row r="46">
      <c r="A46" s="21" t="s">
        <v>138</v>
      </c>
      <c r="B46" s="21" t="s">
        <v>878</v>
      </c>
      <c r="C46" s="21">
        <v>-3.7</v>
      </c>
      <c r="D46" s="21">
        <v>128.2</v>
      </c>
    </row>
    <row r="47">
      <c r="A47" s="21" t="s">
        <v>146</v>
      </c>
      <c r="B47" s="21" t="s">
        <v>420</v>
      </c>
      <c r="C47" s="21">
        <v>0.0</v>
      </c>
      <c r="D47" s="21">
        <v>111.0</v>
      </c>
    </row>
    <row r="48">
      <c r="A48" s="21" t="s">
        <v>139</v>
      </c>
      <c r="B48" s="21" t="s">
        <v>879</v>
      </c>
      <c r="C48" s="21">
        <v>3.3</v>
      </c>
      <c r="D48" s="21">
        <v>117.6</v>
      </c>
    </row>
    <row r="49">
      <c r="A49" s="21" t="s">
        <v>139</v>
      </c>
      <c r="B49" s="21" t="s">
        <v>879</v>
      </c>
      <c r="C49" s="21">
        <v>3.3</v>
      </c>
      <c r="D49" s="21">
        <v>117.6</v>
      </c>
    </row>
    <row r="50">
      <c r="A50" s="21" t="s">
        <v>880</v>
      </c>
      <c r="B50" s="21" t="s">
        <v>874</v>
      </c>
      <c r="C50" s="21">
        <v>-3.0</v>
      </c>
      <c r="D50" s="21">
        <v>114.5</v>
      </c>
    </row>
    <row r="51">
      <c r="A51" s="21" t="s">
        <v>881</v>
      </c>
      <c r="B51" s="21" t="s">
        <v>873</v>
      </c>
      <c r="C51" s="21">
        <v>3.0</v>
      </c>
      <c r="D51" s="21">
        <v>116.0</v>
      </c>
    </row>
    <row r="52">
      <c r="A52" s="21" t="s">
        <v>156</v>
      </c>
      <c r="B52" s="21" t="s">
        <v>875</v>
      </c>
      <c r="C52" s="21">
        <v>-8.5</v>
      </c>
      <c r="D52" s="21">
        <v>116.3</v>
      </c>
    </row>
    <row r="53">
      <c r="A53" s="21" t="s">
        <v>156</v>
      </c>
      <c r="B53" s="21" t="s">
        <v>875</v>
      </c>
      <c r="C53" s="21">
        <v>-8.5</v>
      </c>
      <c r="D53" s="21">
        <v>116.3</v>
      </c>
    </row>
    <row r="54">
      <c r="A54" s="21" t="s">
        <v>143</v>
      </c>
      <c r="B54" s="21" t="s">
        <v>666</v>
      </c>
      <c r="C54" s="21">
        <v>1.0</v>
      </c>
      <c r="D54" s="21">
        <v>124.8</v>
      </c>
    </row>
    <row r="55">
      <c r="A55" s="21" t="s">
        <v>136</v>
      </c>
      <c r="B55" s="21" t="s">
        <v>882</v>
      </c>
      <c r="C55" s="21">
        <v>-10.0</v>
      </c>
      <c r="D55" s="21">
        <v>123.5</v>
      </c>
    </row>
    <row r="56">
      <c r="A56" s="21" t="s">
        <v>145</v>
      </c>
      <c r="B56" s="21" t="s">
        <v>882</v>
      </c>
      <c r="C56" s="21">
        <v>-10.0</v>
      </c>
      <c r="D56" s="21">
        <v>123.5</v>
      </c>
    </row>
    <row r="57">
      <c r="A57" s="21" t="s">
        <v>145</v>
      </c>
      <c r="B57" s="21" t="s">
        <v>882</v>
      </c>
      <c r="C57" s="21">
        <v>-10.0</v>
      </c>
      <c r="D57" s="21">
        <v>123.5</v>
      </c>
    </row>
    <row r="58">
      <c r="A58" s="21" t="s">
        <v>155</v>
      </c>
      <c r="B58" s="21" t="s">
        <v>882</v>
      </c>
      <c r="C58" s="21">
        <v>-10.0</v>
      </c>
      <c r="D58" s="21">
        <v>123.5</v>
      </c>
    </row>
    <row r="59">
      <c r="A59" s="21" t="s">
        <v>155</v>
      </c>
      <c r="B59" s="21" t="s">
        <v>882</v>
      </c>
      <c r="C59" s="21">
        <v>-10.0</v>
      </c>
      <c r="D59" s="21">
        <v>123.5</v>
      </c>
    </row>
    <row r="60">
      <c r="A60" s="21" t="s">
        <v>137</v>
      </c>
      <c r="B60" s="21" t="s">
        <v>860</v>
      </c>
      <c r="C60" s="21">
        <v>-1.0</v>
      </c>
      <c r="D60" s="21">
        <v>122.8</v>
      </c>
    </row>
    <row r="61">
      <c r="A61" s="21" t="s">
        <v>135</v>
      </c>
      <c r="B61" s="21" t="s">
        <v>875</v>
      </c>
      <c r="C61" s="21">
        <v>-8.5</v>
      </c>
      <c r="D61" s="21">
        <v>116.3</v>
      </c>
    </row>
    <row r="62">
      <c r="A62" s="21" t="s">
        <v>134</v>
      </c>
      <c r="B62" s="21" t="s">
        <v>869</v>
      </c>
      <c r="C62" s="21">
        <v>-7.0</v>
      </c>
      <c r="D62" s="21">
        <v>113.3</v>
      </c>
    </row>
    <row r="63">
      <c r="A63" s="21" t="s">
        <v>136</v>
      </c>
      <c r="B63" s="21" t="s">
        <v>882</v>
      </c>
      <c r="C63" s="21">
        <v>-10.0</v>
      </c>
      <c r="D63" s="21">
        <v>123.5</v>
      </c>
    </row>
    <row r="64">
      <c r="A64" s="21" t="s">
        <v>136</v>
      </c>
      <c r="B64" s="21" t="s">
        <v>882</v>
      </c>
      <c r="C64" s="21">
        <v>-10.0</v>
      </c>
      <c r="D64" s="21">
        <v>123.5</v>
      </c>
    </row>
    <row r="65">
      <c r="A65" s="21" t="s">
        <v>133</v>
      </c>
      <c r="B65" s="21" t="s">
        <v>883</v>
      </c>
      <c r="C65" s="21">
        <v>-0.609017</v>
      </c>
      <c r="D65" s="21">
        <v>100.753697</v>
      </c>
    </row>
    <row r="66">
      <c r="A66" s="21" t="s">
        <v>126</v>
      </c>
      <c r="B66" s="21" t="s">
        <v>884</v>
      </c>
      <c r="C66" s="21">
        <v>1.5</v>
      </c>
      <c r="D66" s="21">
        <v>127.8</v>
      </c>
    </row>
    <row r="67">
      <c r="A67" s="21" t="s">
        <v>131</v>
      </c>
      <c r="B67" s="21" t="s">
        <v>884</v>
      </c>
      <c r="C67" s="21">
        <v>1.5</v>
      </c>
      <c r="D67" s="21">
        <v>127.8</v>
      </c>
    </row>
    <row r="68">
      <c r="A68" s="21" t="s">
        <v>127</v>
      </c>
      <c r="B68" s="21" t="s">
        <v>885</v>
      </c>
      <c r="C68" s="21">
        <v>-0.8</v>
      </c>
      <c r="D68" s="21">
        <v>134.0</v>
      </c>
    </row>
    <row r="69">
      <c r="A69" s="21" t="s">
        <v>130</v>
      </c>
      <c r="B69" s="21" t="s">
        <v>885</v>
      </c>
      <c r="C69" s="21">
        <v>-0.8</v>
      </c>
      <c r="D69" s="21">
        <v>134.0</v>
      </c>
    </row>
    <row r="70">
      <c r="A70" s="21" t="s">
        <v>132</v>
      </c>
      <c r="B70" s="21" t="s">
        <v>885</v>
      </c>
      <c r="C70" s="21">
        <v>-0.8</v>
      </c>
      <c r="D70" s="21">
        <v>134.0</v>
      </c>
    </row>
    <row r="71">
      <c r="A71" s="21" t="s">
        <v>128</v>
      </c>
      <c r="B71" s="21" t="s">
        <v>885</v>
      </c>
      <c r="C71" s="21">
        <v>-0.8</v>
      </c>
      <c r="D71" s="21">
        <v>134.0</v>
      </c>
    </row>
    <row r="72">
      <c r="A72" s="21" t="s">
        <v>125</v>
      </c>
      <c r="B72" s="21" t="s">
        <v>514</v>
      </c>
      <c r="C72" s="21">
        <v>-5.5</v>
      </c>
      <c r="D72" s="21">
        <v>122.6</v>
      </c>
    </row>
    <row r="73">
      <c r="A73" s="21" t="s">
        <v>125</v>
      </c>
      <c r="B73" s="21" t="s">
        <v>514</v>
      </c>
      <c r="C73" s="21">
        <v>-5.5</v>
      </c>
      <c r="D73" s="21">
        <v>122.6</v>
      </c>
    </row>
    <row r="74">
      <c r="A74" s="21" t="s">
        <v>120</v>
      </c>
      <c r="B74" s="21" t="s">
        <v>884</v>
      </c>
      <c r="C74" s="21">
        <v>1.5</v>
      </c>
      <c r="D74" s="21">
        <v>127.8</v>
      </c>
    </row>
    <row r="75">
      <c r="A75" s="21" t="s">
        <v>121</v>
      </c>
      <c r="B75" s="21" t="s">
        <v>414</v>
      </c>
      <c r="C75" s="21">
        <v>0.7</v>
      </c>
      <c r="D75" s="21">
        <v>127.5</v>
      </c>
    </row>
    <row r="76">
      <c r="A76" s="21" t="s">
        <v>122</v>
      </c>
      <c r="B76" s="21" t="s">
        <v>886</v>
      </c>
      <c r="C76" s="21">
        <v>-6.7</v>
      </c>
      <c r="D76" s="21">
        <v>140.4</v>
      </c>
    </row>
    <row r="77">
      <c r="A77" s="21" t="s">
        <v>123</v>
      </c>
      <c r="B77" s="21" t="s">
        <v>887</v>
      </c>
      <c r="C77" s="21">
        <v>-3.5</v>
      </c>
      <c r="D77" s="21">
        <v>135.5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0</v>
      </c>
      <c r="B1" s="49" t="s">
        <v>1</v>
      </c>
      <c r="C1" s="49" t="s">
        <v>2</v>
      </c>
      <c r="D1" s="49" t="s">
        <v>3</v>
      </c>
      <c r="E1" s="4" t="s">
        <v>4</v>
      </c>
      <c r="F1" s="4" t="s">
        <v>5</v>
      </c>
      <c r="G1" s="50" t="s">
        <v>6</v>
      </c>
      <c r="H1" s="50" t="s">
        <v>10</v>
      </c>
      <c r="I1" s="50" t="s">
        <v>11</v>
      </c>
      <c r="J1" s="50" t="s">
        <v>12</v>
      </c>
      <c r="K1" s="50" t="s">
        <v>13</v>
      </c>
      <c r="L1" s="49" t="s">
        <v>14</v>
      </c>
      <c r="M1" s="50" t="s">
        <v>15</v>
      </c>
      <c r="N1" s="50" t="s">
        <v>16</v>
      </c>
      <c r="O1" s="50" t="s">
        <v>17</v>
      </c>
      <c r="P1" s="51" t="s">
        <v>18</v>
      </c>
      <c r="Q1" s="51" t="s">
        <v>19</v>
      </c>
      <c r="R1" s="50"/>
      <c r="S1" s="50"/>
      <c r="T1" s="50"/>
      <c r="U1" s="50"/>
      <c r="V1" s="50"/>
      <c r="W1" s="50"/>
      <c r="X1" s="50"/>
      <c r="Y1" s="50"/>
      <c r="Z1" s="50"/>
    </row>
    <row r="2">
      <c r="A2" s="21" t="s">
        <v>529</v>
      </c>
      <c r="B2" s="21" t="s">
        <v>888</v>
      </c>
      <c r="C2" s="21" t="s">
        <v>531</v>
      </c>
      <c r="D2" s="21" t="s">
        <v>532</v>
      </c>
      <c r="E2" s="18">
        <v>430.0</v>
      </c>
      <c r="F2" s="15" t="s">
        <v>889</v>
      </c>
      <c r="H2" s="14">
        <v>3.773148</v>
      </c>
      <c r="I2" s="14">
        <v>98.670029</v>
      </c>
      <c r="J2" s="14" t="s">
        <v>533</v>
      </c>
      <c r="K2" s="14" t="s">
        <v>96</v>
      </c>
      <c r="O2" s="14" t="s">
        <v>328</v>
      </c>
      <c r="P2" s="14" t="str">
        <f>vlookup(B2,'GEM GOGPT_Aug 2025'!B:AB,25,false)</f>
        <v>PT PLN (Persero) [100%]</v>
      </c>
      <c r="Q2" s="14" t="str">
        <f>vlookup(B2,'GEM GOGPT_Aug 2025'!B:AB,27,false)</f>
        <v>PT PLN (Persero) [100.0%]</v>
      </c>
    </row>
    <row r="3">
      <c r="A3" s="21" t="s">
        <v>890</v>
      </c>
      <c r="B3" s="21" t="s">
        <v>891</v>
      </c>
      <c r="C3" s="21" t="s">
        <v>892</v>
      </c>
      <c r="D3" s="21" t="s">
        <v>893</v>
      </c>
      <c r="E3" s="18">
        <v>200.0</v>
      </c>
      <c r="F3" s="15" t="s">
        <v>889</v>
      </c>
      <c r="H3" s="14">
        <v>-5.568576</v>
      </c>
      <c r="I3" s="14">
        <v>105.378021</v>
      </c>
      <c r="J3" s="14" t="s">
        <v>80</v>
      </c>
      <c r="K3" s="14" t="s">
        <v>894</v>
      </c>
      <c r="O3" s="14" t="s">
        <v>328</v>
      </c>
      <c r="P3" s="14" t="str">
        <f>vlookup(B3,'GEM GOGPT_Aug 2025'!B:AB,25,false)</f>
        <v>PT PLN (Persero) [100%]</v>
      </c>
      <c r="Q3" s="14" t="str">
        <f>vlookup(B3,'GEM GOGPT_Aug 2025'!B:AB,27,false)</f>
        <v>PT PLN (Persero) [100.0%]</v>
      </c>
    </row>
    <row r="4">
      <c r="A4" s="21" t="s">
        <v>895</v>
      </c>
      <c r="B4" s="21" t="s">
        <v>896</v>
      </c>
      <c r="C4" s="21" t="s">
        <v>897</v>
      </c>
      <c r="D4" s="21" t="s">
        <v>898</v>
      </c>
      <c r="E4" s="18">
        <v>60.0</v>
      </c>
      <c r="F4" s="15" t="s">
        <v>889</v>
      </c>
      <c r="H4" s="14">
        <v>-6.127523</v>
      </c>
      <c r="I4" s="14">
        <v>106.651517</v>
      </c>
      <c r="J4" s="14" t="s">
        <v>899</v>
      </c>
      <c r="K4" s="14" t="s">
        <v>87</v>
      </c>
      <c r="O4" s="14" t="s">
        <v>62</v>
      </c>
      <c r="P4" s="14" t="str">
        <f>vlookup(B4,'GEM GOGPT_Aug 2025'!B:AB,25,false)</f>
        <v>PT Angkasa Pura Indonesia [100%]</v>
      </c>
      <c r="Q4" s="14" t="str">
        <f>vlookup(B4,'GEM GOGPT_Aug 2025'!B:AB,27,false)</f>
        <v>PT Aviasi Wisata Indonesia (Persero)</v>
      </c>
    </row>
    <row r="5">
      <c r="A5" s="21" t="s">
        <v>900</v>
      </c>
      <c r="B5" s="21" t="s">
        <v>901</v>
      </c>
      <c r="C5" s="21" t="s">
        <v>902</v>
      </c>
      <c r="D5" s="21" t="s">
        <v>903</v>
      </c>
      <c r="E5" s="18">
        <v>600.0</v>
      </c>
      <c r="F5" s="15" t="s">
        <v>904</v>
      </c>
      <c r="H5" s="14">
        <v>-5.471156</v>
      </c>
      <c r="I5" s="14">
        <v>119.837627</v>
      </c>
      <c r="J5" s="14" t="s">
        <v>905</v>
      </c>
      <c r="K5" s="14" t="s">
        <v>694</v>
      </c>
      <c r="O5" s="14" t="s">
        <v>328</v>
      </c>
      <c r="P5" s="14" t="str">
        <f>vlookup(B5,'GEM GOGPT_Aug 2025'!B:AB,25,false)</f>
        <v>PT Energi Nusantara Merah Putih [100%]</v>
      </c>
      <c r="Q5" s="14" t="str">
        <f>vlookup(B5,'GEM GOGPT_Aug 2025'!B:AB,27,false)</f>
        <v>PT Energi Nusantara Merah Putih [100.0%]</v>
      </c>
    </row>
    <row r="6">
      <c r="A6" s="21" t="s">
        <v>106</v>
      </c>
      <c r="B6" s="21" t="s">
        <v>906</v>
      </c>
      <c r="C6" s="21" t="s">
        <v>108</v>
      </c>
      <c r="D6" s="21" t="s">
        <v>109</v>
      </c>
      <c r="E6" s="18">
        <v>800.0</v>
      </c>
      <c r="F6" s="15" t="s">
        <v>904</v>
      </c>
      <c r="H6" s="14">
        <v>3.285553</v>
      </c>
      <c r="I6" s="14">
        <v>99.508176</v>
      </c>
      <c r="J6" s="14" t="s">
        <v>110</v>
      </c>
      <c r="K6" s="14" t="s">
        <v>96</v>
      </c>
      <c r="O6" s="14" t="s">
        <v>62</v>
      </c>
      <c r="P6" s="14" t="str">
        <f>vlookup(B6,'GEM GOGPT_Aug 2025'!B:AB,25,false)</f>
        <v>PT Hanlim Power Corp [100%]</v>
      </c>
      <c r="Q6" s="14" t="str">
        <f>vlookup(B6,'GEM GOGPT_Aug 2025'!B:AB,27,false)</f>
        <v>Hanlim Power Corp [100.0%]</v>
      </c>
    </row>
    <row r="7">
      <c r="A7" s="21" t="s">
        <v>106</v>
      </c>
      <c r="B7" s="21" t="s">
        <v>907</v>
      </c>
      <c r="C7" s="21" t="s">
        <v>108</v>
      </c>
      <c r="D7" s="21" t="s">
        <v>109</v>
      </c>
      <c r="E7" s="18">
        <v>800.0</v>
      </c>
      <c r="F7" s="15" t="s">
        <v>904</v>
      </c>
      <c r="H7" s="14">
        <v>3.285553</v>
      </c>
      <c r="I7" s="14">
        <v>99.508176</v>
      </c>
      <c r="J7" s="14" t="s">
        <v>110</v>
      </c>
      <c r="K7" s="14" t="s">
        <v>96</v>
      </c>
      <c r="O7" s="14" t="s">
        <v>62</v>
      </c>
      <c r="P7" s="14" t="str">
        <f>vlookup(B7,'GEM GOGPT_Aug 2025'!B:AB,25,false)</f>
        <v>PT Hanlim Power Corp [100%]</v>
      </c>
      <c r="Q7" s="14" t="str">
        <f>vlookup(B7,'GEM GOGPT_Aug 2025'!B:AB,27,false)</f>
        <v>Hanlim Power Corp [100.0%]</v>
      </c>
    </row>
    <row r="8">
      <c r="A8" s="21" t="s">
        <v>106</v>
      </c>
      <c r="B8" s="21" t="s">
        <v>908</v>
      </c>
      <c r="C8" s="21" t="s">
        <v>108</v>
      </c>
      <c r="D8" s="21" t="s">
        <v>109</v>
      </c>
      <c r="E8" s="18">
        <v>800.0</v>
      </c>
      <c r="F8" s="15" t="s">
        <v>904</v>
      </c>
      <c r="H8" s="14">
        <v>3.285553</v>
      </c>
      <c r="I8" s="14">
        <v>99.508176</v>
      </c>
      <c r="J8" s="14" t="s">
        <v>110</v>
      </c>
      <c r="K8" s="14" t="s">
        <v>96</v>
      </c>
      <c r="O8" s="14" t="s">
        <v>62</v>
      </c>
      <c r="P8" s="14" t="str">
        <f>vlookup(B8,'GEM GOGPT_Aug 2025'!B:AB,25,false)</f>
        <v>PT Hanlim Power Corp [100%]</v>
      </c>
      <c r="Q8" s="14" t="str">
        <f>vlookup(B8,'GEM GOGPT_Aug 2025'!B:AB,27,false)</f>
        <v>Hanlim Power Corp [100.0%]</v>
      </c>
    </row>
    <row r="9">
      <c r="A9" s="21" t="s">
        <v>467</v>
      </c>
      <c r="B9" s="21" t="s">
        <v>909</v>
      </c>
      <c r="C9" s="21" t="s">
        <v>469</v>
      </c>
      <c r="D9" s="21" t="s">
        <v>470</v>
      </c>
      <c r="E9" s="18">
        <v>400.0</v>
      </c>
      <c r="F9" s="15" t="s">
        <v>904</v>
      </c>
      <c r="H9" s="14">
        <v>-7.209975</v>
      </c>
      <c r="I9" s="14">
        <v>112.723895</v>
      </c>
      <c r="J9" s="14" t="s">
        <v>471</v>
      </c>
      <c r="K9" s="14" t="s">
        <v>103</v>
      </c>
      <c r="O9" s="14" t="s">
        <v>62</v>
      </c>
      <c r="P9" s="14" t="str">
        <f>vlookup(B9,'GEM GOGPT_Aug 2025'!B:AB,25,false)</f>
        <v>PT PLN Indonesia Power [100%]</v>
      </c>
      <c r="Q9" s="14" t="str">
        <f>vlookup(B9,'GEM GOGPT_Aug 2025'!B:AB,27,false)</f>
        <v>PT PLN (Persero) [100.0%]</v>
      </c>
    </row>
    <row r="10">
      <c r="A10" s="21" t="s">
        <v>910</v>
      </c>
      <c r="B10" s="21" t="s">
        <v>911</v>
      </c>
      <c r="C10" s="21" t="s">
        <v>912</v>
      </c>
      <c r="D10" s="21" t="s">
        <v>913</v>
      </c>
      <c r="E10" s="18">
        <v>145.0</v>
      </c>
      <c r="F10" s="15" t="s">
        <v>914</v>
      </c>
      <c r="G10" s="14">
        <v>2010.0</v>
      </c>
      <c r="H10" s="14">
        <v>-3.030261</v>
      </c>
      <c r="I10" s="14">
        <v>104.741981</v>
      </c>
      <c r="J10" s="14" t="s">
        <v>915</v>
      </c>
      <c r="K10" s="14" t="s">
        <v>894</v>
      </c>
      <c r="O10" s="14" t="s">
        <v>62</v>
      </c>
      <c r="P10" s="14" t="str">
        <f>vlookup(B10,'GEM GOGPT_Aug 2025'!B:AB,25,false)</f>
        <v>PT Asta Keramasan Energi [100%]</v>
      </c>
      <c r="Q10" s="14" t="str">
        <f>vlookup(B10,'GEM GOGPT_Aug 2025'!B:AB,27,false)</f>
        <v>PT Leyand International Tbk [100.0%]</v>
      </c>
    </row>
    <row r="11">
      <c r="A11" s="52" t="s">
        <v>916</v>
      </c>
      <c r="B11" s="52" t="s">
        <v>917</v>
      </c>
      <c r="C11" s="52" t="s">
        <v>918</v>
      </c>
      <c r="D11" s="52" t="s">
        <v>919</v>
      </c>
      <c r="E11" s="53">
        <v>150.0</v>
      </c>
      <c r="F11" s="54" t="s">
        <v>920</v>
      </c>
      <c r="G11" s="55">
        <v>2021.0</v>
      </c>
      <c r="H11" s="55">
        <v>-1.325641</v>
      </c>
      <c r="I11" s="55">
        <v>122.498276</v>
      </c>
      <c r="J11" s="55" t="s">
        <v>921</v>
      </c>
      <c r="K11" s="55" t="s">
        <v>860</v>
      </c>
      <c r="L11" s="55"/>
      <c r="M11" s="55"/>
      <c r="N11" s="55"/>
      <c r="O11" s="55" t="s">
        <v>62</v>
      </c>
      <c r="P11" s="14" t="str">
        <f>vlookup(B11,'GEM GOGPT_Aug 2025'!B:AB,25,false)</f>
        <v>PT PLN (Persero) [100%]</v>
      </c>
      <c r="Q11" s="14" t="str">
        <f>vlookup(B11,'GEM GOGPT_Aug 2025'!B:AB,27,false)</f>
        <v>PT PLN (Persero) [100.0%]</v>
      </c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52" t="s">
        <v>316</v>
      </c>
      <c r="B12" s="52" t="s">
        <v>317</v>
      </c>
      <c r="C12" s="52" t="s">
        <v>318</v>
      </c>
      <c r="D12" s="52" t="s">
        <v>319</v>
      </c>
      <c r="E12" s="53">
        <v>250.0</v>
      </c>
      <c r="F12" s="54" t="s">
        <v>920</v>
      </c>
      <c r="G12" s="55">
        <v>2024.0</v>
      </c>
      <c r="H12" s="55">
        <v>1.63916</v>
      </c>
      <c r="I12" s="55">
        <v>101.608757</v>
      </c>
      <c r="J12" s="55" t="s">
        <v>80</v>
      </c>
      <c r="K12" s="55" t="s">
        <v>320</v>
      </c>
      <c r="L12" s="55"/>
      <c r="M12" s="55"/>
      <c r="N12" s="55"/>
      <c r="O12" s="55" t="s">
        <v>62</v>
      </c>
      <c r="P12" s="14" t="str">
        <f>vlookup(B12,'GEM GOGPT_Aug 2025'!B:AB,25,false)</f>
        <v/>
      </c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52" t="s">
        <v>64</v>
      </c>
      <c r="B13" s="52" t="s">
        <v>65</v>
      </c>
      <c r="C13" s="52" t="s">
        <v>66</v>
      </c>
      <c r="D13" s="52" t="s">
        <v>67</v>
      </c>
      <c r="E13" s="53">
        <v>150.0</v>
      </c>
      <c r="F13" s="54" t="s">
        <v>920</v>
      </c>
      <c r="G13" s="55"/>
      <c r="H13" s="55">
        <v>1.657387</v>
      </c>
      <c r="I13" s="55">
        <v>125.088874</v>
      </c>
      <c r="J13" s="55" t="s">
        <v>80</v>
      </c>
      <c r="K13" s="55" t="s">
        <v>666</v>
      </c>
      <c r="L13" s="55"/>
      <c r="M13" s="55"/>
      <c r="N13" s="55"/>
      <c r="O13" s="55" t="s">
        <v>49</v>
      </c>
      <c r="P13" s="14" t="str">
        <f>vlookup(B13,'GEM GOGPT_Aug 2025'!B:AB,25,false)</f>
        <v>PT PLN (Persero) [100%]</v>
      </c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52" t="s">
        <v>922</v>
      </c>
      <c r="B14" s="52" t="s">
        <v>923</v>
      </c>
      <c r="C14" s="52" t="s">
        <v>924</v>
      </c>
      <c r="D14" s="52" t="s">
        <v>925</v>
      </c>
      <c r="E14" s="53">
        <v>450.0</v>
      </c>
      <c r="F14" s="54" t="s">
        <v>920</v>
      </c>
      <c r="G14" s="55"/>
      <c r="H14" s="55">
        <v>-4.935711</v>
      </c>
      <c r="I14" s="55">
        <v>119.523105</v>
      </c>
      <c r="J14" s="55" t="s">
        <v>80</v>
      </c>
      <c r="K14" s="55" t="s">
        <v>694</v>
      </c>
      <c r="L14" s="55"/>
      <c r="M14" s="55"/>
      <c r="N14" s="55"/>
      <c r="O14" s="55" t="s">
        <v>62</v>
      </c>
      <c r="P14" s="14" t="str">
        <f>vlookup(B14,'GEM GOGPT_Aug 2025'!B:AB,25,false)</f>
        <v>PT PLN (Persero) [100%]</v>
      </c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52" t="s">
        <v>677</v>
      </c>
      <c r="B15" s="52" t="s">
        <v>926</v>
      </c>
      <c r="C15" s="52" t="s">
        <v>679</v>
      </c>
      <c r="D15" s="52" t="s">
        <v>680</v>
      </c>
      <c r="E15" s="53">
        <v>130.0</v>
      </c>
      <c r="F15" s="54" t="s">
        <v>927</v>
      </c>
      <c r="G15" s="55"/>
      <c r="H15" s="55">
        <v>-6.269558</v>
      </c>
      <c r="I15" s="55">
        <v>107.159678</v>
      </c>
      <c r="J15" s="55" t="s">
        <v>681</v>
      </c>
      <c r="K15" s="55" t="s">
        <v>448</v>
      </c>
      <c r="L15" s="55"/>
      <c r="M15" s="55"/>
      <c r="N15" s="55"/>
      <c r="O15" s="55" t="s">
        <v>62</v>
      </c>
      <c r="P15" s="14" t="str">
        <f>vlookup(B15,'GEM GOGPT_Aug 2025'!B:AB,25,false)</f>
        <v>PT Bekasi Power [100%]</v>
      </c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52" t="s">
        <v>928</v>
      </c>
      <c r="B16" s="52" t="s">
        <v>929</v>
      </c>
      <c r="C16" s="52" t="s">
        <v>930</v>
      </c>
      <c r="D16" s="52" t="s">
        <v>931</v>
      </c>
      <c r="E16" s="53">
        <v>800.0</v>
      </c>
      <c r="F16" s="54" t="s">
        <v>927</v>
      </c>
      <c r="G16" s="55"/>
      <c r="H16" s="55">
        <v>-7.035171</v>
      </c>
      <c r="I16" s="55">
        <v>106.549147</v>
      </c>
      <c r="J16" s="55"/>
      <c r="K16" s="55" t="s">
        <v>448</v>
      </c>
      <c r="L16" s="55"/>
      <c r="M16" s="55"/>
      <c r="N16" s="55"/>
      <c r="O16" s="55" t="s">
        <v>328</v>
      </c>
      <c r="P16" s="14" t="str">
        <f>vlookup(B16,'GEM GOGPT_Aug 2025'!B:AB,25,false)</f>
        <v>Royal Maha Indonesia</v>
      </c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52" t="s">
        <v>928</v>
      </c>
      <c r="B17" s="52" t="s">
        <v>932</v>
      </c>
      <c r="C17" s="52" t="s">
        <v>930</v>
      </c>
      <c r="D17" s="52" t="s">
        <v>931</v>
      </c>
      <c r="E17" s="53">
        <v>800.0</v>
      </c>
      <c r="F17" s="54" t="s">
        <v>927</v>
      </c>
      <c r="G17" s="55"/>
      <c r="H17" s="55">
        <v>-7.035171</v>
      </c>
      <c r="I17" s="55">
        <v>106.549147</v>
      </c>
      <c r="J17" s="55"/>
      <c r="K17" s="55" t="s">
        <v>448</v>
      </c>
      <c r="L17" s="55"/>
      <c r="M17" s="55"/>
      <c r="N17" s="55"/>
      <c r="O17" s="55" t="s">
        <v>328</v>
      </c>
      <c r="P17" s="14" t="str">
        <f>vlookup(B17,'GEM GOGPT_Aug 2025'!B:AB,25,false)</f>
        <v>Royal Maha Indonesia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52" t="s">
        <v>928</v>
      </c>
      <c r="B18" s="52" t="s">
        <v>933</v>
      </c>
      <c r="C18" s="52" t="s">
        <v>930</v>
      </c>
      <c r="D18" s="52" t="s">
        <v>931</v>
      </c>
      <c r="E18" s="53">
        <v>800.0</v>
      </c>
      <c r="F18" s="54" t="s">
        <v>927</v>
      </c>
      <c r="G18" s="55"/>
      <c r="H18" s="55">
        <v>-7.035171</v>
      </c>
      <c r="I18" s="55">
        <v>106.549147</v>
      </c>
      <c r="J18" s="55"/>
      <c r="K18" s="55" t="s">
        <v>448</v>
      </c>
      <c r="L18" s="55"/>
      <c r="M18" s="55"/>
      <c r="N18" s="55"/>
      <c r="O18" s="55" t="s">
        <v>328</v>
      </c>
      <c r="P18" s="14" t="str">
        <f>vlookup(B18,'GEM GOGPT_Aug 2025'!B:AB,25,false)</f>
        <v>Royal Maha Indonesia</v>
      </c>
      <c r="Q18" s="55"/>
      <c r="R18" s="55"/>
      <c r="S18" s="55"/>
      <c r="T18" s="55"/>
      <c r="U18" s="55"/>
      <c r="V18" s="55"/>
      <c r="W18" s="55"/>
      <c r="X18" s="55"/>
      <c r="Y18" s="55"/>
      <c r="Z18" s="5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1" t="s">
        <v>1</v>
      </c>
      <c r="C1" s="21" t="s">
        <v>2</v>
      </c>
      <c r="D1" s="21" t="s">
        <v>934</v>
      </c>
      <c r="E1" s="21" t="s">
        <v>3</v>
      </c>
      <c r="F1" s="21" t="s">
        <v>935</v>
      </c>
      <c r="G1" s="21" t="s">
        <v>936</v>
      </c>
      <c r="H1" s="21" t="s">
        <v>937</v>
      </c>
      <c r="I1" s="21" t="s">
        <v>938</v>
      </c>
      <c r="J1" s="21" t="s">
        <v>4</v>
      </c>
      <c r="K1" s="21" t="s">
        <v>5</v>
      </c>
      <c r="L1" s="21" t="s">
        <v>939</v>
      </c>
      <c r="M1" s="21" t="s">
        <v>940</v>
      </c>
      <c r="N1" s="21" t="s">
        <v>941</v>
      </c>
      <c r="O1" s="21" t="s">
        <v>942</v>
      </c>
      <c r="P1" s="21" t="s">
        <v>943</v>
      </c>
      <c r="Q1" s="21" t="s">
        <v>944</v>
      </c>
      <c r="R1" s="21" t="s">
        <v>945</v>
      </c>
      <c r="S1" s="21" t="s">
        <v>946</v>
      </c>
      <c r="T1" s="21" t="s">
        <v>947</v>
      </c>
      <c r="U1" s="21" t="s">
        <v>948</v>
      </c>
      <c r="V1" s="21" t="s">
        <v>6</v>
      </c>
      <c r="W1" s="21" t="s">
        <v>949</v>
      </c>
      <c r="X1" s="21" t="s">
        <v>950</v>
      </c>
      <c r="Y1" s="21" t="s">
        <v>951</v>
      </c>
      <c r="Z1" s="21" t="s">
        <v>18</v>
      </c>
      <c r="AA1" s="21" t="s">
        <v>952</v>
      </c>
      <c r="AB1" s="21" t="s">
        <v>19</v>
      </c>
      <c r="AC1" s="21" t="s">
        <v>953</v>
      </c>
      <c r="AD1" s="21" t="s">
        <v>10</v>
      </c>
      <c r="AE1" s="21" t="s">
        <v>11</v>
      </c>
      <c r="AF1" s="21" t="s">
        <v>954</v>
      </c>
      <c r="AG1" s="21" t="s">
        <v>12</v>
      </c>
      <c r="AH1" s="21" t="s">
        <v>955</v>
      </c>
      <c r="AI1" s="21" t="s">
        <v>956</v>
      </c>
      <c r="AJ1" s="21" t="s">
        <v>13</v>
      </c>
      <c r="AK1" s="21" t="s">
        <v>957</v>
      </c>
      <c r="AL1" s="21" t="s">
        <v>958</v>
      </c>
      <c r="AM1" s="21" t="s">
        <v>959</v>
      </c>
      <c r="AN1" s="21" t="s">
        <v>960</v>
      </c>
      <c r="AO1" s="21" t="s">
        <v>15</v>
      </c>
      <c r="AP1" s="21" t="s">
        <v>16</v>
      </c>
      <c r="AQ1" s="21" t="s">
        <v>961</v>
      </c>
      <c r="AR1" s="21" t="s">
        <v>17</v>
      </c>
    </row>
    <row r="2">
      <c r="A2" s="21" t="s">
        <v>847</v>
      </c>
      <c r="B2" s="21" t="s">
        <v>848</v>
      </c>
      <c r="C2" s="32" t="s">
        <v>849</v>
      </c>
      <c r="D2" s="21" t="s">
        <v>962</v>
      </c>
      <c r="E2" s="21" t="s">
        <v>850</v>
      </c>
      <c r="H2" s="21" t="s">
        <v>963</v>
      </c>
      <c r="I2" s="21" t="s">
        <v>964</v>
      </c>
      <c r="J2" s="21">
        <v>265.0</v>
      </c>
      <c r="K2" s="21" t="s">
        <v>836</v>
      </c>
      <c r="L2" s="21" t="s">
        <v>965</v>
      </c>
      <c r="M2" s="21" t="s">
        <v>80</v>
      </c>
      <c r="Q2" s="21" t="s">
        <v>966</v>
      </c>
      <c r="R2" s="21" t="s">
        <v>967</v>
      </c>
      <c r="S2" s="21" t="s">
        <v>968</v>
      </c>
      <c r="V2" s="21">
        <v>2027.0</v>
      </c>
      <c r="Z2" s="21" t="s">
        <v>852</v>
      </c>
      <c r="AA2" s="21" t="s">
        <v>969</v>
      </c>
      <c r="AB2" s="21" t="s">
        <v>853</v>
      </c>
      <c r="AC2" s="21" t="s">
        <v>970</v>
      </c>
      <c r="AD2" s="21">
        <v>-4.827752</v>
      </c>
      <c r="AE2" s="21">
        <v>136.839082</v>
      </c>
      <c r="AF2" s="21" t="s">
        <v>971</v>
      </c>
      <c r="AG2" s="21" t="s">
        <v>851</v>
      </c>
      <c r="AH2" s="21" t="s">
        <v>972</v>
      </c>
      <c r="AI2" s="21" t="s">
        <v>973</v>
      </c>
      <c r="AJ2" s="21" t="s">
        <v>47</v>
      </c>
      <c r="AK2" s="21" t="s">
        <v>974</v>
      </c>
      <c r="AL2" s="21" t="s">
        <v>975</v>
      </c>
      <c r="AO2" s="21" t="s">
        <v>309</v>
      </c>
      <c r="AP2" s="21" t="s">
        <v>327</v>
      </c>
      <c r="AR2" s="21" t="s">
        <v>328</v>
      </c>
    </row>
    <row r="3">
      <c r="A3" s="21" t="s">
        <v>736</v>
      </c>
      <c r="B3" s="21" t="s">
        <v>737</v>
      </c>
      <c r="C3" s="32" t="s">
        <v>738</v>
      </c>
      <c r="D3" s="21" t="s">
        <v>962</v>
      </c>
      <c r="E3" s="21" t="s">
        <v>739</v>
      </c>
      <c r="H3" s="21">
        <v>1.0</v>
      </c>
      <c r="I3" s="21" t="s">
        <v>964</v>
      </c>
      <c r="J3" s="21">
        <v>184.3</v>
      </c>
      <c r="K3" s="21" t="s">
        <v>334</v>
      </c>
      <c r="L3" s="21" t="s">
        <v>63</v>
      </c>
      <c r="N3" s="21" t="s">
        <v>80</v>
      </c>
      <c r="P3" s="21" t="s">
        <v>80</v>
      </c>
      <c r="V3" s="21">
        <v>2015.0</v>
      </c>
      <c r="Z3" s="21" t="s">
        <v>50</v>
      </c>
      <c r="AA3" s="21" t="s">
        <v>976</v>
      </c>
      <c r="AB3" s="21" t="s">
        <v>51</v>
      </c>
      <c r="AC3" s="21" t="s">
        <v>977</v>
      </c>
      <c r="AD3" s="21">
        <v>5.215648</v>
      </c>
      <c r="AE3" s="21">
        <v>97.090454</v>
      </c>
      <c r="AF3" s="21" t="s">
        <v>971</v>
      </c>
      <c r="AG3" s="21" t="s">
        <v>740</v>
      </c>
      <c r="AJ3" s="21" t="s">
        <v>75</v>
      </c>
      <c r="AK3" s="21" t="s">
        <v>974</v>
      </c>
      <c r="AL3" s="21" t="s">
        <v>975</v>
      </c>
      <c r="AR3" s="21" t="s">
        <v>328</v>
      </c>
    </row>
    <row r="4">
      <c r="A4" s="21" t="s">
        <v>760</v>
      </c>
      <c r="B4" s="21" t="s">
        <v>761</v>
      </c>
      <c r="C4" s="32" t="s">
        <v>762</v>
      </c>
      <c r="D4" s="21" t="s">
        <v>962</v>
      </c>
      <c r="E4" s="21" t="s">
        <v>763</v>
      </c>
      <c r="G4" s="21" t="s">
        <v>978</v>
      </c>
      <c r="H4" s="21">
        <v>2.0</v>
      </c>
      <c r="I4" s="21" t="s">
        <v>979</v>
      </c>
      <c r="J4" s="21">
        <v>240.5</v>
      </c>
      <c r="K4" s="21" t="s">
        <v>334</v>
      </c>
      <c r="L4" s="21" t="s">
        <v>63</v>
      </c>
      <c r="N4" s="21" t="s">
        <v>80</v>
      </c>
      <c r="P4" s="21" t="s">
        <v>80</v>
      </c>
      <c r="V4" s="21">
        <v>2021.0</v>
      </c>
      <c r="Z4" s="21" t="s">
        <v>50</v>
      </c>
      <c r="AA4" s="21" t="s">
        <v>976</v>
      </c>
      <c r="AB4" s="21" t="s">
        <v>51</v>
      </c>
      <c r="AC4" s="21" t="s">
        <v>977</v>
      </c>
      <c r="AD4" s="21">
        <v>5.214774</v>
      </c>
      <c r="AE4" s="21">
        <v>97.085577</v>
      </c>
      <c r="AF4" s="21" t="s">
        <v>971</v>
      </c>
      <c r="AG4" s="21" t="s">
        <v>740</v>
      </c>
      <c r="AJ4" s="21" t="s">
        <v>75</v>
      </c>
      <c r="AK4" s="21" t="s">
        <v>974</v>
      </c>
      <c r="AL4" s="21" t="s">
        <v>975</v>
      </c>
      <c r="AR4" s="21" t="s">
        <v>62</v>
      </c>
    </row>
    <row r="5">
      <c r="A5" s="21" t="s">
        <v>855</v>
      </c>
      <c r="B5" s="21" t="s">
        <v>856</v>
      </c>
      <c r="C5" s="32" t="s">
        <v>857</v>
      </c>
      <c r="D5" s="21" t="s">
        <v>962</v>
      </c>
      <c r="E5" s="21" t="s">
        <v>858</v>
      </c>
      <c r="H5" s="21">
        <v>1.0</v>
      </c>
      <c r="I5" s="21" t="s">
        <v>964</v>
      </c>
      <c r="J5" s="21">
        <v>500.0</v>
      </c>
      <c r="K5" s="21" t="s">
        <v>836</v>
      </c>
      <c r="L5" s="21" t="s">
        <v>274</v>
      </c>
      <c r="N5" s="21" t="s">
        <v>80</v>
      </c>
      <c r="V5" s="21">
        <v>2026.0</v>
      </c>
      <c r="Z5" s="21" t="s">
        <v>861</v>
      </c>
      <c r="AA5" s="21" t="s">
        <v>980</v>
      </c>
      <c r="AB5" s="21" t="s">
        <v>862</v>
      </c>
      <c r="AC5" s="21" t="s">
        <v>981</v>
      </c>
      <c r="AD5" s="21">
        <v>-2.7809</v>
      </c>
      <c r="AE5" s="21">
        <v>121.823735</v>
      </c>
      <c r="AF5" s="21" t="s">
        <v>982</v>
      </c>
      <c r="AG5" s="21" t="s">
        <v>859</v>
      </c>
      <c r="AJ5" s="21" t="s">
        <v>68</v>
      </c>
      <c r="AK5" s="21" t="s">
        <v>974</v>
      </c>
      <c r="AL5" s="21" t="s">
        <v>975</v>
      </c>
      <c r="AO5" s="21" t="s">
        <v>309</v>
      </c>
      <c r="AP5" s="21" t="s">
        <v>327</v>
      </c>
      <c r="AR5" s="21" t="s">
        <v>328</v>
      </c>
    </row>
    <row r="6">
      <c r="A6" s="21" t="s">
        <v>302</v>
      </c>
      <c r="B6" s="21" t="s">
        <v>303</v>
      </c>
      <c r="C6" s="32" t="s">
        <v>304</v>
      </c>
      <c r="D6" s="21" t="s">
        <v>962</v>
      </c>
      <c r="E6" s="21" t="s">
        <v>305</v>
      </c>
      <c r="H6" s="21">
        <v>1.0</v>
      </c>
      <c r="I6" s="21" t="s">
        <v>979</v>
      </c>
      <c r="J6" s="21">
        <v>56.0</v>
      </c>
      <c r="K6" s="21" t="s">
        <v>306</v>
      </c>
      <c r="L6" s="21" t="s">
        <v>983</v>
      </c>
      <c r="M6" s="21" t="s">
        <v>984</v>
      </c>
      <c r="N6" s="21" t="s">
        <v>80</v>
      </c>
      <c r="O6" s="21" t="s">
        <v>80</v>
      </c>
      <c r="P6" s="21" t="s">
        <v>80</v>
      </c>
      <c r="V6" s="21">
        <v>2025.0</v>
      </c>
      <c r="Z6" s="21" t="s">
        <v>311</v>
      </c>
      <c r="AA6" s="21" t="s">
        <v>985</v>
      </c>
      <c r="AB6" s="21" t="s">
        <v>312</v>
      </c>
      <c r="AC6" s="21" t="s">
        <v>986</v>
      </c>
      <c r="AD6" s="21">
        <v>1.578726</v>
      </c>
      <c r="AE6" s="21">
        <v>114.608756</v>
      </c>
      <c r="AF6" s="21" t="s">
        <v>982</v>
      </c>
      <c r="AG6" s="21" t="s">
        <v>307</v>
      </c>
      <c r="AJ6" s="21" t="s">
        <v>308</v>
      </c>
      <c r="AK6" s="21" t="s">
        <v>974</v>
      </c>
      <c r="AL6" s="21" t="s">
        <v>975</v>
      </c>
      <c r="AO6" s="21" t="s">
        <v>309</v>
      </c>
      <c r="AP6" s="21" t="s">
        <v>310</v>
      </c>
      <c r="AR6" s="21" t="s">
        <v>62</v>
      </c>
    </row>
    <row r="7">
      <c r="A7" s="21" t="s">
        <v>302</v>
      </c>
      <c r="B7" s="21" t="s">
        <v>313</v>
      </c>
      <c r="C7" s="32" t="s">
        <v>304</v>
      </c>
      <c r="D7" s="21" t="s">
        <v>962</v>
      </c>
      <c r="E7" s="21" t="s">
        <v>305</v>
      </c>
      <c r="H7" s="21">
        <v>2.0</v>
      </c>
      <c r="I7" s="21" t="s">
        <v>979</v>
      </c>
      <c r="J7" s="21">
        <v>56.0</v>
      </c>
      <c r="K7" s="21" t="s">
        <v>306</v>
      </c>
      <c r="L7" s="21" t="s">
        <v>983</v>
      </c>
      <c r="M7" s="21" t="s">
        <v>984</v>
      </c>
      <c r="N7" s="21" t="s">
        <v>80</v>
      </c>
      <c r="O7" s="21" t="s">
        <v>80</v>
      </c>
      <c r="P7" s="21" t="s">
        <v>80</v>
      </c>
      <c r="V7" s="21">
        <v>2025.0</v>
      </c>
      <c r="Z7" s="21" t="s">
        <v>311</v>
      </c>
      <c r="AA7" s="21" t="s">
        <v>985</v>
      </c>
      <c r="AB7" s="21" t="s">
        <v>312</v>
      </c>
      <c r="AC7" s="21" t="s">
        <v>986</v>
      </c>
      <c r="AD7" s="21">
        <v>1.578726</v>
      </c>
      <c r="AE7" s="21">
        <v>114.608756</v>
      </c>
      <c r="AF7" s="21" t="s">
        <v>982</v>
      </c>
      <c r="AG7" s="21" t="s">
        <v>307</v>
      </c>
      <c r="AJ7" s="21" t="s">
        <v>308</v>
      </c>
      <c r="AK7" s="21" t="s">
        <v>974</v>
      </c>
      <c r="AL7" s="21" t="s">
        <v>975</v>
      </c>
      <c r="AO7" s="21" t="s">
        <v>309</v>
      </c>
      <c r="AP7" s="21" t="s">
        <v>310</v>
      </c>
      <c r="AR7" s="21" t="s">
        <v>62</v>
      </c>
    </row>
    <row r="8">
      <c r="A8" s="21" t="s">
        <v>302</v>
      </c>
      <c r="B8" s="21" t="s">
        <v>314</v>
      </c>
      <c r="C8" s="32" t="s">
        <v>304</v>
      </c>
      <c r="D8" s="21" t="s">
        <v>962</v>
      </c>
      <c r="E8" s="21" t="s">
        <v>305</v>
      </c>
      <c r="H8" s="21">
        <v>3.0</v>
      </c>
      <c r="I8" s="21" t="s">
        <v>979</v>
      </c>
      <c r="J8" s="21">
        <v>56.0</v>
      </c>
      <c r="K8" s="21" t="s">
        <v>306</v>
      </c>
      <c r="L8" s="21" t="s">
        <v>983</v>
      </c>
      <c r="M8" s="21" t="s">
        <v>984</v>
      </c>
      <c r="N8" s="21" t="s">
        <v>80</v>
      </c>
      <c r="O8" s="21" t="s">
        <v>80</v>
      </c>
      <c r="P8" s="21" t="s">
        <v>80</v>
      </c>
      <c r="V8" s="21">
        <v>2025.0</v>
      </c>
      <c r="Z8" s="21" t="s">
        <v>311</v>
      </c>
      <c r="AA8" s="21" t="s">
        <v>985</v>
      </c>
      <c r="AB8" s="21" t="s">
        <v>312</v>
      </c>
      <c r="AC8" s="21" t="s">
        <v>986</v>
      </c>
      <c r="AD8" s="21">
        <v>1.578726</v>
      </c>
      <c r="AE8" s="21">
        <v>114.608756</v>
      </c>
      <c r="AF8" s="21" t="s">
        <v>982</v>
      </c>
      <c r="AG8" s="21" t="s">
        <v>307</v>
      </c>
      <c r="AJ8" s="21" t="s">
        <v>308</v>
      </c>
      <c r="AK8" s="21" t="s">
        <v>974</v>
      </c>
      <c r="AL8" s="21" t="s">
        <v>975</v>
      </c>
      <c r="AO8" s="21" t="s">
        <v>309</v>
      </c>
      <c r="AP8" s="21" t="s">
        <v>310</v>
      </c>
      <c r="AR8" s="21" t="s">
        <v>62</v>
      </c>
    </row>
    <row r="9">
      <c r="A9" s="21" t="s">
        <v>302</v>
      </c>
      <c r="B9" s="21" t="s">
        <v>315</v>
      </c>
      <c r="C9" s="32" t="s">
        <v>304</v>
      </c>
      <c r="D9" s="21" t="s">
        <v>962</v>
      </c>
      <c r="E9" s="21" t="s">
        <v>305</v>
      </c>
      <c r="H9" s="21">
        <v>4.0</v>
      </c>
      <c r="I9" s="21" t="s">
        <v>979</v>
      </c>
      <c r="J9" s="21">
        <v>56.0</v>
      </c>
      <c r="K9" s="21" t="s">
        <v>306</v>
      </c>
      <c r="L9" s="21" t="s">
        <v>983</v>
      </c>
      <c r="M9" s="21" t="s">
        <v>984</v>
      </c>
      <c r="N9" s="21" t="s">
        <v>80</v>
      </c>
      <c r="O9" s="21" t="s">
        <v>80</v>
      </c>
      <c r="P9" s="21" t="s">
        <v>80</v>
      </c>
      <c r="V9" s="21">
        <v>2025.0</v>
      </c>
      <c r="Z9" s="21" t="s">
        <v>311</v>
      </c>
      <c r="AA9" s="21" t="s">
        <v>985</v>
      </c>
      <c r="AB9" s="21" t="s">
        <v>312</v>
      </c>
      <c r="AC9" s="21" t="s">
        <v>986</v>
      </c>
      <c r="AD9" s="21">
        <v>1.578726</v>
      </c>
      <c r="AE9" s="21">
        <v>114.608756</v>
      </c>
      <c r="AF9" s="21" t="s">
        <v>982</v>
      </c>
      <c r="AG9" s="21" t="s">
        <v>307</v>
      </c>
      <c r="AJ9" s="21" t="s">
        <v>308</v>
      </c>
      <c r="AK9" s="21" t="s">
        <v>974</v>
      </c>
      <c r="AL9" s="21" t="s">
        <v>975</v>
      </c>
      <c r="AO9" s="21" t="s">
        <v>309</v>
      </c>
      <c r="AP9" s="21" t="s">
        <v>310</v>
      </c>
      <c r="AR9" s="21" t="s">
        <v>62</v>
      </c>
    </row>
    <row r="10">
      <c r="A10" s="21" t="s">
        <v>717</v>
      </c>
      <c r="B10" s="21" t="s">
        <v>718</v>
      </c>
      <c r="C10" s="32" t="s">
        <v>719</v>
      </c>
      <c r="D10" s="21" t="s">
        <v>962</v>
      </c>
      <c r="E10" s="21" t="s">
        <v>720</v>
      </c>
      <c r="H10" s="21">
        <v>1.0</v>
      </c>
      <c r="I10" s="21" t="s">
        <v>979</v>
      </c>
      <c r="J10" s="21">
        <v>144.0</v>
      </c>
      <c r="K10" s="21" t="s">
        <v>334</v>
      </c>
      <c r="L10" s="21" t="s">
        <v>63</v>
      </c>
      <c r="N10" s="21" t="s">
        <v>80</v>
      </c>
      <c r="P10" s="21" t="s">
        <v>80</v>
      </c>
      <c r="V10" s="21" t="s">
        <v>80</v>
      </c>
      <c r="Z10" s="21" t="s">
        <v>50</v>
      </c>
      <c r="AA10" s="21" t="s">
        <v>976</v>
      </c>
      <c r="AB10" s="21" t="s">
        <v>51</v>
      </c>
      <c r="AC10" s="21" t="s">
        <v>977</v>
      </c>
      <c r="AD10" s="21">
        <v>-0.621886</v>
      </c>
      <c r="AE10" s="21">
        <v>115.137071</v>
      </c>
      <c r="AF10" s="21" t="s">
        <v>971</v>
      </c>
      <c r="AG10" s="21" t="s">
        <v>706</v>
      </c>
      <c r="AJ10" s="21" t="s">
        <v>707</v>
      </c>
      <c r="AK10" s="21" t="s">
        <v>974</v>
      </c>
      <c r="AL10" s="21" t="s">
        <v>975</v>
      </c>
      <c r="AR10" s="21" t="s">
        <v>62</v>
      </c>
    </row>
    <row r="11">
      <c r="A11" s="21" t="s">
        <v>702</v>
      </c>
      <c r="B11" s="21" t="s">
        <v>703</v>
      </c>
      <c r="C11" s="32" t="s">
        <v>704</v>
      </c>
      <c r="D11" s="21" t="s">
        <v>962</v>
      </c>
      <c r="E11" s="21" t="s">
        <v>705</v>
      </c>
      <c r="H11" s="21">
        <v>1.0</v>
      </c>
      <c r="I11" s="21" t="s">
        <v>979</v>
      </c>
      <c r="J11" s="21">
        <v>140.0</v>
      </c>
      <c r="K11" s="21" t="s">
        <v>334</v>
      </c>
      <c r="L11" s="21" t="s">
        <v>63</v>
      </c>
      <c r="N11" s="21" t="s">
        <v>80</v>
      </c>
      <c r="P11" s="21" t="s">
        <v>80</v>
      </c>
      <c r="V11" s="21">
        <v>2022.0</v>
      </c>
      <c r="Z11" s="21" t="s">
        <v>50</v>
      </c>
      <c r="AA11" s="21" t="s">
        <v>976</v>
      </c>
      <c r="AB11" s="21" t="s">
        <v>51</v>
      </c>
      <c r="AC11" s="21" t="s">
        <v>977</v>
      </c>
      <c r="AD11" s="21">
        <v>-0.62081</v>
      </c>
      <c r="AE11" s="21">
        <v>115.114001</v>
      </c>
      <c r="AF11" s="21" t="s">
        <v>971</v>
      </c>
      <c r="AG11" s="21" t="s">
        <v>706</v>
      </c>
      <c r="AJ11" s="21" t="s">
        <v>707</v>
      </c>
      <c r="AK11" s="21" t="s">
        <v>974</v>
      </c>
      <c r="AL11" s="21" t="s">
        <v>975</v>
      </c>
      <c r="AR11" s="21" t="s">
        <v>62</v>
      </c>
    </row>
    <row r="12">
      <c r="A12" s="21" t="s">
        <v>900</v>
      </c>
      <c r="B12" s="21" t="s">
        <v>901</v>
      </c>
      <c r="C12" s="32" t="s">
        <v>902</v>
      </c>
      <c r="D12" s="21" t="s">
        <v>962</v>
      </c>
      <c r="E12" s="21" t="s">
        <v>903</v>
      </c>
      <c r="H12" s="21">
        <v>1.0</v>
      </c>
      <c r="I12" s="21" t="s">
        <v>964</v>
      </c>
      <c r="J12" s="21">
        <v>600.0</v>
      </c>
      <c r="K12" s="21" t="s">
        <v>904</v>
      </c>
      <c r="L12" s="21" t="s">
        <v>965</v>
      </c>
      <c r="N12" s="21" t="s">
        <v>80</v>
      </c>
      <c r="P12" s="21" t="s">
        <v>80</v>
      </c>
      <c r="Z12" s="21" t="s">
        <v>987</v>
      </c>
      <c r="AA12" s="21" t="s">
        <v>988</v>
      </c>
      <c r="AB12" s="21" t="s">
        <v>989</v>
      </c>
      <c r="AC12" s="21" t="s">
        <v>990</v>
      </c>
      <c r="AD12" s="21">
        <v>-5.471156</v>
      </c>
      <c r="AE12" s="21">
        <v>119.837627</v>
      </c>
      <c r="AF12" s="21" t="s">
        <v>982</v>
      </c>
      <c r="AG12" s="21" t="s">
        <v>905</v>
      </c>
      <c r="AJ12" s="21" t="s">
        <v>694</v>
      </c>
      <c r="AK12" s="21" t="s">
        <v>974</v>
      </c>
      <c r="AL12" s="21" t="s">
        <v>975</v>
      </c>
      <c r="AR12" s="21" t="s">
        <v>328</v>
      </c>
    </row>
    <row r="13">
      <c r="A13" s="21" t="s">
        <v>635</v>
      </c>
      <c r="B13" s="21" t="s">
        <v>636</v>
      </c>
      <c r="C13" s="32" t="s">
        <v>637</v>
      </c>
      <c r="D13" s="21" t="s">
        <v>962</v>
      </c>
      <c r="E13" s="21" t="s">
        <v>638</v>
      </c>
      <c r="H13" s="21">
        <v>1.0</v>
      </c>
      <c r="I13" s="21" t="s">
        <v>991</v>
      </c>
      <c r="J13" s="21">
        <v>114.0</v>
      </c>
      <c r="K13" s="21" t="s">
        <v>334</v>
      </c>
      <c r="L13" s="21" t="s">
        <v>63</v>
      </c>
      <c r="N13" s="21" t="s">
        <v>80</v>
      </c>
      <c r="P13" s="21" t="s">
        <v>80</v>
      </c>
      <c r="V13" s="21">
        <v>2006.0</v>
      </c>
      <c r="Z13" s="21" t="s">
        <v>640</v>
      </c>
      <c r="AA13" s="21" t="s">
        <v>992</v>
      </c>
      <c r="AB13" s="21" t="s">
        <v>641</v>
      </c>
      <c r="AC13" s="21" t="s">
        <v>993</v>
      </c>
      <c r="AD13" s="21">
        <v>1.068868</v>
      </c>
      <c r="AE13" s="21">
        <v>104.025193</v>
      </c>
      <c r="AF13" s="21" t="s">
        <v>982</v>
      </c>
      <c r="AG13" s="21" t="s">
        <v>639</v>
      </c>
      <c r="AJ13" s="21" t="s">
        <v>320</v>
      </c>
      <c r="AK13" s="21" t="s">
        <v>974</v>
      </c>
      <c r="AL13" s="21" t="s">
        <v>975</v>
      </c>
      <c r="AR13" s="21" t="s">
        <v>49</v>
      </c>
    </row>
    <row r="14">
      <c r="A14" s="21" t="s">
        <v>321</v>
      </c>
      <c r="B14" s="21" t="s">
        <v>322</v>
      </c>
      <c r="C14" s="32" t="s">
        <v>323</v>
      </c>
      <c r="D14" s="21" t="s">
        <v>962</v>
      </c>
      <c r="E14" s="21" t="s">
        <v>324</v>
      </c>
      <c r="G14" s="21" t="s">
        <v>994</v>
      </c>
      <c r="H14" s="21" t="s">
        <v>963</v>
      </c>
      <c r="I14" s="21" t="s">
        <v>964</v>
      </c>
      <c r="J14" s="21">
        <v>450.0</v>
      </c>
      <c r="K14" s="21" t="s">
        <v>306</v>
      </c>
      <c r="L14" s="21" t="s">
        <v>965</v>
      </c>
      <c r="M14" s="21" t="s">
        <v>984</v>
      </c>
      <c r="Q14" s="21" t="s">
        <v>966</v>
      </c>
      <c r="R14" s="21" t="s">
        <v>995</v>
      </c>
      <c r="S14" s="21" t="s">
        <v>996</v>
      </c>
      <c r="V14" s="21">
        <v>2025.0</v>
      </c>
      <c r="Z14" s="21" t="s">
        <v>329</v>
      </c>
      <c r="AA14" s="21" t="s">
        <v>997</v>
      </c>
      <c r="AB14" s="21" t="s">
        <v>330</v>
      </c>
      <c r="AC14" s="21" t="s">
        <v>998</v>
      </c>
      <c r="AD14" s="21">
        <v>-8.901172</v>
      </c>
      <c r="AE14" s="21">
        <v>116.738209</v>
      </c>
      <c r="AF14" s="21" t="s">
        <v>971</v>
      </c>
      <c r="AG14" s="21" t="s">
        <v>325</v>
      </c>
      <c r="AH14" s="21" t="s">
        <v>999</v>
      </c>
      <c r="AI14" s="21" t="s">
        <v>1000</v>
      </c>
      <c r="AJ14" s="21" t="s">
        <v>326</v>
      </c>
      <c r="AK14" s="21" t="s">
        <v>974</v>
      </c>
      <c r="AL14" s="21" t="s">
        <v>975</v>
      </c>
      <c r="AO14" s="21" t="s">
        <v>309</v>
      </c>
      <c r="AP14" s="21" t="s">
        <v>327</v>
      </c>
      <c r="AR14" s="21" t="s">
        <v>328</v>
      </c>
    </row>
    <row r="15">
      <c r="A15" s="21" t="s">
        <v>106</v>
      </c>
      <c r="B15" s="21" t="s">
        <v>107</v>
      </c>
      <c r="C15" s="32" t="s">
        <v>108</v>
      </c>
      <c r="D15" s="21" t="s">
        <v>962</v>
      </c>
      <c r="E15" s="21" t="s">
        <v>109</v>
      </c>
      <c r="H15" s="56">
        <v>45691.0</v>
      </c>
      <c r="I15" s="21" t="s">
        <v>979</v>
      </c>
      <c r="J15" s="21">
        <v>800.0</v>
      </c>
      <c r="K15" s="21" t="s">
        <v>45</v>
      </c>
      <c r="L15" s="21" t="s">
        <v>965</v>
      </c>
      <c r="N15" s="21" t="s">
        <v>80</v>
      </c>
      <c r="O15" s="21" t="s">
        <v>80</v>
      </c>
      <c r="P15" s="21" t="s">
        <v>80</v>
      </c>
      <c r="V15" s="21" t="s">
        <v>80</v>
      </c>
      <c r="Z15" s="21" t="s">
        <v>111</v>
      </c>
      <c r="AA15" s="21" t="s">
        <v>1001</v>
      </c>
      <c r="AB15" s="21" t="s">
        <v>112</v>
      </c>
      <c r="AC15" s="21" t="s">
        <v>1002</v>
      </c>
      <c r="AD15" s="21">
        <v>3.285553</v>
      </c>
      <c r="AE15" s="21">
        <v>99.508176</v>
      </c>
      <c r="AF15" s="21" t="s">
        <v>982</v>
      </c>
      <c r="AG15" s="21" t="s">
        <v>110</v>
      </c>
      <c r="AH15" s="21" t="s">
        <v>1003</v>
      </c>
      <c r="AI15" s="21" t="s">
        <v>1004</v>
      </c>
      <c r="AJ15" s="21" t="s">
        <v>96</v>
      </c>
      <c r="AK15" s="21" t="s">
        <v>974</v>
      </c>
      <c r="AL15" s="21" t="s">
        <v>975</v>
      </c>
      <c r="AR15" s="21" t="s">
        <v>62</v>
      </c>
    </row>
    <row r="16">
      <c r="A16" s="21" t="s">
        <v>106</v>
      </c>
      <c r="B16" s="21" t="s">
        <v>906</v>
      </c>
      <c r="C16" s="32" t="s">
        <v>108</v>
      </c>
      <c r="D16" s="21" t="s">
        <v>962</v>
      </c>
      <c r="E16" s="21" t="s">
        <v>109</v>
      </c>
      <c r="H16" s="56">
        <v>45659.0</v>
      </c>
      <c r="I16" s="21" t="s">
        <v>979</v>
      </c>
      <c r="J16" s="21">
        <v>800.0</v>
      </c>
      <c r="K16" s="21" t="s">
        <v>904</v>
      </c>
      <c r="L16" s="21" t="s">
        <v>965</v>
      </c>
      <c r="N16" s="21" t="s">
        <v>80</v>
      </c>
      <c r="O16" s="21" t="s">
        <v>80</v>
      </c>
      <c r="P16" s="21" t="s">
        <v>80</v>
      </c>
      <c r="Z16" s="21" t="s">
        <v>111</v>
      </c>
      <c r="AA16" s="21" t="s">
        <v>1001</v>
      </c>
      <c r="AB16" s="21" t="s">
        <v>112</v>
      </c>
      <c r="AC16" s="21" t="s">
        <v>1002</v>
      </c>
      <c r="AD16" s="21">
        <v>3.285553</v>
      </c>
      <c r="AE16" s="21">
        <v>99.508176</v>
      </c>
      <c r="AF16" s="21" t="s">
        <v>982</v>
      </c>
      <c r="AG16" s="21" t="s">
        <v>110</v>
      </c>
      <c r="AH16" s="21" t="s">
        <v>1003</v>
      </c>
      <c r="AI16" s="21" t="s">
        <v>1004</v>
      </c>
      <c r="AJ16" s="21" t="s">
        <v>96</v>
      </c>
      <c r="AK16" s="21" t="s">
        <v>974</v>
      </c>
      <c r="AL16" s="21" t="s">
        <v>975</v>
      </c>
      <c r="AR16" s="21" t="s">
        <v>62</v>
      </c>
    </row>
    <row r="17">
      <c r="A17" s="21" t="s">
        <v>106</v>
      </c>
      <c r="B17" s="21" t="s">
        <v>907</v>
      </c>
      <c r="C17" s="32" t="s">
        <v>108</v>
      </c>
      <c r="D17" s="21" t="s">
        <v>962</v>
      </c>
      <c r="E17" s="21" t="s">
        <v>109</v>
      </c>
      <c r="H17" s="56">
        <v>45690.0</v>
      </c>
      <c r="I17" s="21" t="s">
        <v>979</v>
      </c>
      <c r="J17" s="21">
        <v>800.0</v>
      </c>
      <c r="K17" s="21" t="s">
        <v>904</v>
      </c>
      <c r="L17" s="21" t="s">
        <v>965</v>
      </c>
      <c r="N17" s="21" t="s">
        <v>80</v>
      </c>
      <c r="O17" s="21" t="s">
        <v>80</v>
      </c>
      <c r="P17" s="21" t="s">
        <v>80</v>
      </c>
      <c r="Z17" s="21" t="s">
        <v>111</v>
      </c>
      <c r="AA17" s="21" t="s">
        <v>1001</v>
      </c>
      <c r="AB17" s="21" t="s">
        <v>112</v>
      </c>
      <c r="AC17" s="21" t="s">
        <v>1002</v>
      </c>
      <c r="AD17" s="21">
        <v>3.285553</v>
      </c>
      <c r="AE17" s="21">
        <v>99.508176</v>
      </c>
      <c r="AF17" s="21" t="s">
        <v>982</v>
      </c>
      <c r="AG17" s="21" t="s">
        <v>110</v>
      </c>
      <c r="AH17" s="21" t="s">
        <v>1003</v>
      </c>
      <c r="AI17" s="21" t="s">
        <v>1004</v>
      </c>
      <c r="AJ17" s="21" t="s">
        <v>96</v>
      </c>
      <c r="AK17" s="21" t="s">
        <v>974</v>
      </c>
      <c r="AL17" s="21" t="s">
        <v>975</v>
      </c>
      <c r="AR17" s="21" t="s">
        <v>62</v>
      </c>
    </row>
    <row r="18">
      <c r="A18" s="21" t="s">
        <v>106</v>
      </c>
      <c r="B18" s="21" t="s">
        <v>908</v>
      </c>
      <c r="C18" s="32" t="s">
        <v>108</v>
      </c>
      <c r="D18" s="21" t="s">
        <v>962</v>
      </c>
      <c r="E18" s="21" t="s">
        <v>109</v>
      </c>
      <c r="H18" s="56">
        <v>45660.0</v>
      </c>
      <c r="I18" s="21" t="s">
        <v>979</v>
      </c>
      <c r="J18" s="21">
        <v>800.0</v>
      </c>
      <c r="K18" s="21" t="s">
        <v>904</v>
      </c>
      <c r="L18" s="21" t="s">
        <v>965</v>
      </c>
      <c r="N18" s="21" t="s">
        <v>80</v>
      </c>
      <c r="O18" s="21" t="s">
        <v>80</v>
      </c>
      <c r="P18" s="21" t="s">
        <v>80</v>
      </c>
      <c r="Z18" s="21" t="s">
        <v>111</v>
      </c>
      <c r="AA18" s="21" t="s">
        <v>1001</v>
      </c>
      <c r="AB18" s="21" t="s">
        <v>112</v>
      </c>
      <c r="AC18" s="21" t="s">
        <v>1002</v>
      </c>
      <c r="AD18" s="21">
        <v>3.285553</v>
      </c>
      <c r="AE18" s="21">
        <v>99.508176</v>
      </c>
      <c r="AF18" s="21" t="s">
        <v>982</v>
      </c>
      <c r="AG18" s="21" t="s">
        <v>110</v>
      </c>
      <c r="AH18" s="21" t="s">
        <v>1003</v>
      </c>
      <c r="AI18" s="21" t="s">
        <v>1004</v>
      </c>
      <c r="AJ18" s="21" t="s">
        <v>96</v>
      </c>
      <c r="AK18" s="21" t="s">
        <v>974</v>
      </c>
      <c r="AL18" s="21" t="s">
        <v>975</v>
      </c>
      <c r="AR18" s="21" t="s">
        <v>62</v>
      </c>
    </row>
    <row r="19">
      <c r="A19" s="21" t="s">
        <v>106</v>
      </c>
      <c r="B19" s="21" t="s">
        <v>331</v>
      </c>
      <c r="C19" s="32" t="s">
        <v>108</v>
      </c>
      <c r="D19" s="21" t="s">
        <v>962</v>
      </c>
      <c r="E19" s="21" t="s">
        <v>109</v>
      </c>
      <c r="H19" s="56">
        <v>45658.0</v>
      </c>
      <c r="I19" s="21" t="s">
        <v>979</v>
      </c>
      <c r="J19" s="21">
        <v>800.0</v>
      </c>
      <c r="K19" s="21" t="s">
        <v>306</v>
      </c>
      <c r="L19" s="21" t="s">
        <v>965</v>
      </c>
      <c r="M19" s="21" t="s">
        <v>80</v>
      </c>
      <c r="N19" s="21" t="s">
        <v>80</v>
      </c>
      <c r="P19" s="21" t="s">
        <v>80</v>
      </c>
      <c r="V19" s="21">
        <v>2024.0</v>
      </c>
      <c r="Z19" s="21" t="s">
        <v>111</v>
      </c>
      <c r="AA19" s="21" t="s">
        <v>1001</v>
      </c>
      <c r="AB19" s="21" t="s">
        <v>112</v>
      </c>
      <c r="AC19" s="21" t="s">
        <v>1002</v>
      </c>
      <c r="AD19" s="21">
        <v>3.285553</v>
      </c>
      <c r="AE19" s="21">
        <v>99.508176</v>
      </c>
      <c r="AF19" s="21" t="s">
        <v>982</v>
      </c>
      <c r="AG19" s="21" t="s">
        <v>110</v>
      </c>
      <c r="AH19" s="21" t="s">
        <v>1003</v>
      </c>
      <c r="AI19" s="21" t="s">
        <v>1004</v>
      </c>
      <c r="AJ19" s="21" t="s">
        <v>96</v>
      </c>
      <c r="AK19" s="21" t="s">
        <v>974</v>
      </c>
      <c r="AL19" s="21" t="s">
        <v>975</v>
      </c>
      <c r="AR19" s="21" t="s">
        <v>62</v>
      </c>
    </row>
    <row r="20">
      <c r="A20" s="21" t="s">
        <v>106</v>
      </c>
      <c r="B20" s="21" t="s">
        <v>332</v>
      </c>
      <c r="C20" s="32" t="s">
        <v>108</v>
      </c>
      <c r="D20" s="21" t="s">
        <v>962</v>
      </c>
      <c r="E20" s="21" t="s">
        <v>109</v>
      </c>
      <c r="H20" s="56">
        <v>45689.0</v>
      </c>
      <c r="I20" s="21" t="s">
        <v>979</v>
      </c>
      <c r="J20" s="21">
        <v>800.0</v>
      </c>
      <c r="K20" s="21" t="s">
        <v>306</v>
      </c>
      <c r="L20" s="21" t="s">
        <v>965</v>
      </c>
      <c r="M20" s="21" t="s">
        <v>80</v>
      </c>
      <c r="N20" s="21" t="s">
        <v>80</v>
      </c>
      <c r="P20" s="21" t="s">
        <v>80</v>
      </c>
      <c r="V20" s="21">
        <v>2024.0</v>
      </c>
      <c r="Z20" s="21" t="s">
        <v>111</v>
      </c>
      <c r="AA20" s="21" t="s">
        <v>1001</v>
      </c>
      <c r="AB20" s="21" t="s">
        <v>112</v>
      </c>
      <c r="AC20" s="21" t="s">
        <v>1002</v>
      </c>
      <c r="AD20" s="21">
        <v>3.285553</v>
      </c>
      <c r="AE20" s="21">
        <v>99.508176</v>
      </c>
      <c r="AF20" s="21" t="s">
        <v>982</v>
      </c>
      <c r="AG20" s="21" t="s">
        <v>110</v>
      </c>
      <c r="AH20" s="21" t="s">
        <v>1003</v>
      </c>
      <c r="AI20" s="21" t="s">
        <v>1004</v>
      </c>
      <c r="AJ20" s="21" t="s">
        <v>96</v>
      </c>
      <c r="AK20" s="21" t="s">
        <v>974</v>
      </c>
      <c r="AL20" s="21" t="s">
        <v>975</v>
      </c>
      <c r="AR20" s="21" t="s">
        <v>62</v>
      </c>
    </row>
    <row r="21">
      <c r="A21" s="21" t="s">
        <v>677</v>
      </c>
      <c r="B21" s="21" t="s">
        <v>678</v>
      </c>
      <c r="C21" s="32" t="s">
        <v>679</v>
      </c>
      <c r="D21" s="21" t="s">
        <v>962</v>
      </c>
      <c r="E21" s="21" t="s">
        <v>680</v>
      </c>
      <c r="H21" s="21">
        <v>1.0</v>
      </c>
      <c r="I21" s="21" t="s">
        <v>979</v>
      </c>
      <c r="J21" s="21">
        <v>130.0</v>
      </c>
      <c r="K21" s="21" t="s">
        <v>334</v>
      </c>
      <c r="L21" s="21" t="s">
        <v>965</v>
      </c>
      <c r="N21" s="21" t="s">
        <v>80</v>
      </c>
      <c r="P21" s="21" t="s">
        <v>80</v>
      </c>
      <c r="V21" s="21">
        <v>2013.0</v>
      </c>
      <c r="Z21" s="21" t="s">
        <v>682</v>
      </c>
      <c r="AA21" s="21" t="s">
        <v>1005</v>
      </c>
      <c r="AB21" s="21" t="s">
        <v>683</v>
      </c>
      <c r="AC21" s="21" t="s">
        <v>1006</v>
      </c>
      <c r="AD21" s="21">
        <v>-6.269558</v>
      </c>
      <c r="AE21" s="21">
        <v>107.159678</v>
      </c>
      <c r="AF21" s="21" t="s">
        <v>971</v>
      </c>
      <c r="AG21" s="21" t="s">
        <v>681</v>
      </c>
      <c r="AJ21" s="21" t="s">
        <v>448</v>
      </c>
      <c r="AK21" s="21" t="s">
        <v>974</v>
      </c>
      <c r="AL21" s="21" t="s">
        <v>975</v>
      </c>
      <c r="AM21" s="21" t="s">
        <v>1007</v>
      </c>
      <c r="AR21" s="21" t="s">
        <v>62</v>
      </c>
    </row>
    <row r="22">
      <c r="A22" s="21" t="s">
        <v>677</v>
      </c>
      <c r="B22" s="21" t="s">
        <v>926</v>
      </c>
      <c r="C22" s="32" t="s">
        <v>679</v>
      </c>
      <c r="D22" s="21" t="s">
        <v>962</v>
      </c>
      <c r="E22" s="21" t="s">
        <v>680</v>
      </c>
      <c r="H22" s="21">
        <v>2.0</v>
      </c>
      <c r="I22" s="21" t="s">
        <v>979</v>
      </c>
      <c r="J22" s="21">
        <v>130.0</v>
      </c>
      <c r="K22" s="21" t="s">
        <v>927</v>
      </c>
      <c r="L22" s="21" t="s">
        <v>274</v>
      </c>
      <c r="N22" s="21" t="s">
        <v>80</v>
      </c>
      <c r="P22" s="21" t="s">
        <v>80</v>
      </c>
      <c r="Z22" s="21" t="s">
        <v>682</v>
      </c>
      <c r="AA22" s="21" t="s">
        <v>1005</v>
      </c>
      <c r="AB22" s="21" t="s">
        <v>683</v>
      </c>
      <c r="AC22" s="21" t="s">
        <v>1006</v>
      </c>
      <c r="AD22" s="21">
        <v>-6.269558</v>
      </c>
      <c r="AE22" s="21">
        <v>107.159678</v>
      </c>
      <c r="AF22" s="21" t="s">
        <v>971</v>
      </c>
      <c r="AG22" s="21" t="s">
        <v>681</v>
      </c>
      <c r="AJ22" s="21" t="s">
        <v>448</v>
      </c>
      <c r="AK22" s="21" t="s">
        <v>974</v>
      </c>
      <c r="AL22" s="21" t="s">
        <v>975</v>
      </c>
      <c r="AM22" s="21" t="s">
        <v>1007</v>
      </c>
      <c r="AR22" s="21" t="s">
        <v>62</v>
      </c>
    </row>
    <row r="23">
      <c r="A23" s="21" t="s">
        <v>727</v>
      </c>
      <c r="B23" s="21" t="s">
        <v>728</v>
      </c>
      <c r="C23" s="32" t="s">
        <v>729</v>
      </c>
      <c r="D23" s="21" t="s">
        <v>962</v>
      </c>
      <c r="E23" s="21" t="s">
        <v>730</v>
      </c>
      <c r="H23" s="21">
        <v>1.0</v>
      </c>
      <c r="I23" s="21" t="s">
        <v>1008</v>
      </c>
      <c r="J23" s="21">
        <v>160.0</v>
      </c>
      <c r="K23" s="21" t="s">
        <v>334</v>
      </c>
      <c r="L23" s="21" t="s">
        <v>63</v>
      </c>
      <c r="N23" s="21" t="s">
        <v>80</v>
      </c>
      <c r="P23" s="21" t="s">
        <v>80</v>
      </c>
      <c r="V23" s="21">
        <v>2014.0</v>
      </c>
      <c r="Z23" s="21" t="s">
        <v>732</v>
      </c>
      <c r="AA23" s="21" t="s">
        <v>1009</v>
      </c>
      <c r="AB23" s="21" t="s">
        <v>733</v>
      </c>
      <c r="AC23" s="21" t="s">
        <v>1010</v>
      </c>
      <c r="AD23" s="21">
        <v>3.771713</v>
      </c>
      <c r="AE23" s="21">
        <v>98.66769</v>
      </c>
      <c r="AF23" s="21" t="s">
        <v>982</v>
      </c>
      <c r="AG23" s="21" t="s">
        <v>731</v>
      </c>
      <c r="AJ23" s="21" t="s">
        <v>96</v>
      </c>
      <c r="AK23" s="21" t="s">
        <v>974</v>
      </c>
      <c r="AL23" s="21" t="s">
        <v>975</v>
      </c>
      <c r="AM23" s="21" t="s">
        <v>1011</v>
      </c>
      <c r="AR23" s="21" t="s">
        <v>487</v>
      </c>
    </row>
    <row r="24">
      <c r="A24" s="21" t="s">
        <v>529</v>
      </c>
      <c r="B24" s="21" t="s">
        <v>888</v>
      </c>
      <c r="C24" s="32" t="s">
        <v>531</v>
      </c>
      <c r="D24" s="21" t="s">
        <v>962</v>
      </c>
      <c r="E24" s="21" t="s">
        <v>532</v>
      </c>
      <c r="G24" s="21" t="s">
        <v>1012</v>
      </c>
      <c r="H24" s="56">
        <v>45660.0</v>
      </c>
      <c r="I24" s="21" t="s">
        <v>964</v>
      </c>
      <c r="J24" s="21">
        <v>430.0</v>
      </c>
      <c r="K24" s="21" t="s">
        <v>889</v>
      </c>
      <c r="L24" s="21" t="s">
        <v>965</v>
      </c>
      <c r="N24" s="21" t="s">
        <v>80</v>
      </c>
      <c r="O24" s="21" t="s">
        <v>80</v>
      </c>
      <c r="P24" s="21" t="s">
        <v>80</v>
      </c>
      <c r="Z24" s="21" t="s">
        <v>50</v>
      </c>
      <c r="AA24" s="21" t="s">
        <v>976</v>
      </c>
      <c r="AB24" s="21" t="s">
        <v>51</v>
      </c>
      <c r="AC24" s="21" t="s">
        <v>977</v>
      </c>
      <c r="AD24" s="21">
        <v>3.773148</v>
      </c>
      <c r="AE24" s="21">
        <v>98.670029</v>
      </c>
      <c r="AF24" s="21" t="s">
        <v>971</v>
      </c>
      <c r="AG24" s="21" t="s">
        <v>533</v>
      </c>
      <c r="AJ24" s="21" t="s">
        <v>96</v>
      </c>
      <c r="AK24" s="21" t="s">
        <v>974</v>
      </c>
      <c r="AL24" s="21" t="s">
        <v>975</v>
      </c>
      <c r="AM24" s="21" t="s">
        <v>1011</v>
      </c>
      <c r="AR24" s="21" t="s">
        <v>328</v>
      </c>
    </row>
    <row r="25">
      <c r="A25" s="21" t="s">
        <v>529</v>
      </c>
      <c r="B25" s="21" t="s">
        <v>530</v>
      </c>
      <c r="C25" s="32" t="s">
        <v>531</v>
      </c>
      <c r="D25" s="21" t="s">
        <v>962</v>
      </c>
      <c r="E25" s="21" t="s">
        <v>532</v>
      </c>
      <c r="G25" s="21" t="s">
        <v>1012</v>
      </c>
      <c r="H25" s="56">
        <v>45658.0</v>
      </c>
      <c r="I25" s="21" t="s">
        <v>991</v>
      </c>
      <c r="J25" s="21">
        <v>65.0</v>
      </c>
      <c r="K25" s="21" t="s">
        <v>334</v>
      </c>
      <c r="L25" s="21" t="s">
        <v>1013</v>
      </c>
      <c r="N25" s="21" t="s">
        <v>80</v>
      </c>
      <c r="P25" s="21" t="s">
        <v>80</v>
      </c>
      <c r="V25" s="21">
        <v>1984.0</v>
      </c>
      <c r="Z25" s="21" t="s">
        <v>50</v>
      </c>
      <c r="AA25" s="21" t="s">
        <v>976</v>
      </c>
      <c r="AB25" s="21" t="s">
        <v>51</v>
      </c>
      <c r="AC25" s="21" t="s">
        <v>977</v>
      </c>
      <c r="AD25" s="21">
        <v>3.773148</v>
      </c>
      <c r="AE25" s="21">
        <v>98.670029</v>
      </c>
      <c r="AF25" s="21" t="s">
        <v>971</v>
      </c>
      <c r="AG25" s="21" t="s">
        <v>533</v>
      </c>
      <c r="AJ25" s="21" t="s">
        <v>96</v>
      </c>
      <c r="AK25" s="21" t="s">
        <v>974</v>
      </c>
      <c r="AL25" s="21" t="s">
        <v>975</v>
      </c>
      <c r="AM25" s="21" t="s">
        <v>1011</v>
      </c>
      <c r="AR25" s="21" t="s">
        <v>49</v>
      </c>
    </row>
    <row r="26">
      <c r="A26" s="21" t="s">
        <v>529</v>
      </c>
      <c r="B26" s="21" t="s">
        <v>534</v>
      </c>
      <c r="C26" s="32" t="s">
        <v>531</v>
      </c>
      <c r="D26" s="21" t="s">
        <v>962</v>
      </c>
      <c r="E26" s="21" t="s">
        <v>532</v>
      </c>
      <c r="G26" s="21" t="s">
        <v>1012</v>
      </c>
      <c r="H26" s="56">
        <v>45689.0</v>
      </c>
      <c r="I26" s="21" t="s">
        <v>991</v>
      </c>
      <c r="J26" s="21">
        <v>65.0</v>
      </c>
      <c r="K26" s="21" t="s">
        <v>334</v>
      </c>
      <c r="L26" s="21" t="s">
        <v>1013</v>
      </c>
      <c r="N26" s="21" t="s">
        <v>80</v>
      </c>
      <c r="P26" s="21" t="s">
        <v>80</v>
      </c>
      <c r="V26" s="21">
        <v>1984.0</v>
      </c>
      <c r="Z26" s="21" t="s">
        <v>50</v>
      </c>
      <c r="AA26" s="21" t="s">
        <v>976</v>
      </c>
      <c r="AB26" s="21" t="s">
        <v>51</v>
      </c>
      <c r="AC26" s="21" t="s">
        <v>977</v>
      </c>
      <c r="AD26" s="21">
        <v>3.773148</v>
      </c>
      <c r="AE26" s="21">
        <v>98.670029</v>
      </c>
      <c r="AF26" s="21" t="s">
        <v>971</v>
      </c>
      <c r="AG26" s="21" t="s">
        <v>533</v>
      </c>
      <c r="AJ26" s="21" t="s">
        <v>96</v>
      </c>
      <c r="AK26" s="21" t="s">
        <v>974</v>
      </c>
      <c r="AL26" s="21" t="s">
        <v>975</v>
      </c>
      <c r="AM26" s="21" t="s">
        <v>1011</v>
      </c>
      <c r="AR26" s="21" t="s">
        <v>49</v>
      </c>
    </row>
    <row r="27">
      <c r="A27" s="21" t="s">
        <v>529</v>
      </c>
      <c r="B27" s="21" t="s">
        <v>535</v>
      </c>
      <c r="C27" s="32" t="s">
        <v>531</v>
      </c>
      <c r="D27" s="21" t="s">
        <v>962</v>
      </c>
      <c r="E27" s="21" t="s">
        <v>532</v>
      </c>
      <c r="G27" s="21" t="s">
        <v>1012</v>
      </c>
      <c r="H27" s="56">
        <v>45717.0</v>
      </c>
      <c r="I27" s="21" t="s">
        <v>991</v>
      </c>
      <c r="J27" s="21">
        <v>65.0</v>
      </c>
      <c r="K27" s="21" t="s">
        <v>334</v>
      </c>
      <c r="L27" s="21" t="s">
        <v>1013</v>
      </c>
      <c r="N27" s="21" t="s">
        <v>80</v>
      </c>
      <c r="P27" s="21" t="s">
        <v>80</v>
      </c>
      <c r="V27" s="21">
        <v>1984.0</v>
      </c>
      <c r="Z27" s="21" t="s">
        <v>50</v>
      </c>
      <c r="AA27" s="21" t="s">
        <v>976</v>
      </c>
      <c r="AB27" s="21" t="s">
        <v>51</v>
      </c>
      <c r="AC27" s="21" t="s">
        <v>977</v>
      </c>
      <c r="AD27" s="21">
        <v>3.773148</v>
      </c>
      <c r="AE27" s="21">
        <v>98.670029</v>
      </c>
      <c r="AF27" s="21" t="s">
        <v>971</v>
      </c>
      <c r="AG27" s="21" t="s">
        <v>533</v>
      </c>
      <c r="AJ27" s="21" t="s">
        <v>96</v>
      </c>
      <c r="AK27" s="21" t="s">
        <v>974</v>
      </c>
      <c r="AL27" s="21" t="s">
        <v>975</v>
      </c>
      <c r="AM27" s="21" t="s">
        <v>1011</v>
      </c>
      <c r="AR27" s="21" t="s">
        <v>49</v>
      </c>
    </row>
    <row r="28">
      <c r="A28" s="21" t="s">
        <v>529</v>
      </c>
      <c r="B28" s="21" t="s">
        <v>536</v>
      </c>
      <c r="C28" s="32" t="s">
        <v>531</v>
      </c>
      <c r="D28" s="21" t="s">
        <v>962</v>
      </c>
      <c r="E28" s="21" t="s">
        <v>532</v>
      </c>
      <c r="G28" s="21" t="s">
        <v>1012</v>
      </c>
      <c r="H28" s="56">
        <v>45748.0</v>
      </c>
      <c r="I28" s="21" t="s">
        <v>991</v>
      </c>
      <c r="J28" s="21">
        <v>65.0</v>
      </c>
      <c r="K28" s="21" t="s">
        <v>334</v>
      </c>
      <c r="L28" s="21" t="s">
        <v>1013</v>
      </c>
      <c r="N28" s="21" t="s">
        <v>80</v>
      </c>
      <c r="P28" s="21" t="s">
        <v>80</v>
      </c>
      <c r="V28" s="21">
        <v>1984.0</v>
      </c>
      <c r="Z28" s="21" t="s">
        <v>50</v>
      </c>
      <c r="AA28" s="21" t="s">
        <v>976</v>
      </c>
      <c r="AB28" s="21" t="s">
        <v>51</v>
      </c>
      <c r="AC28" s="21" t="s">
        <v>977</v>
      </c>
      <c r="AD28" s="21">
        <v>3.773148</v>
      </c>
      <c r="AE28" s="21">
        <v>98.670029</v>
      </c>
      <c r="AF28" s="21" t="s">
        <v>971</v>
      </c>
      <c r="AG28" s="21" t="s">
        <v>533</v>
      </c>
      <c r="AJ28" s="21" t="s">
        <v>96</v>
      </c>
      <c r="AK28" s="21" t="s">
        <v>974</v>
      </c>
      <c r="AL28" s="21" t="s">
        <v>975</v>
      </c>
      <c r="AM28" s="21" t="s">
        <v>1011</v>
      </c>
      <c r="AR28" s="21" t="s">
        <v>49</v>
      </c>
    </row>
    <row r="29">
      <c r="A29" s="21" t="s">
        <v>529</v>
      </c>
      <c r="B29" s="21" t="s">
        <v>784</v>
      </c>
      <c r="C29" s="32" t="s">
        <v>531</v>
      </c>
      <c r="D29" s="21" t="s">
        <v>962</v>
      </c>
      <c r="E29" s="21" t="s">
        <v>532</v>
      </c>
      <c r="G29" s="21" t="s">
        <v>1012</v>
      </c>
      <c r="H29" s="56">
        <v>45659.0</v>
      </c>
      <c r="I29" s="21" t="s">
        <v>1014</v>
      </c>
      <c r="J29" s="21">
        <v>395.0</v>
      </c>
      <c r="K29" s="21" t="s">
        <v>334</v>
      </c>
      <c r="L29" s="21" t="s">
        <v>965</v>
      </c>
      <c r="N29" s="21" t="s">
        <v>80</v>
      </c>
      <c r="P29" s="21" t="s">
        <v>80</v>
      </c>
      <c r="V29" s="21">
        <v>1994.0</v>
      </c>
      <c r="Z29" s="21" t="s">
        <v>50</v>
      </c>
      <c r="AA29" s="21" t="s">
        <v>976</v>
      </c>
      <c r="AB29" s="21" t="s">
        <v>51</v>
      </c>
      <c r="AC29" s="21" t="s">
        <v>977</v>
      </c>
      <c r="AD29" s="21">
        <v>3.773148</v>
      </c>
      <c r="AE29" s="21">
        <v>98.670029</v>
      </c>
      <c r="AF29" s="21" t="s">
        <v>971</v>
      </c>
      <c r="AG29" s="21" t="s">
        <v>533</v>
      </c>
      <c r="AJ29" s="21" t="s">
        <v>96</v>
      </c>
      <c r="AK29" s="21" t="s">
        <v>974</v>
      </c>
      <c r="AL29" s="21" t="s">
        <v>975</v>
      </c>
      <c r="AM29" s="21" t="s">
        <v>1011</v>
      </c>
      <c r="AR29" s="21" t="s">
        <v>49</v>
      </c>
    </row>
    <row r="30">
      <c r="A30" s="21" t="s">
        <v>529</v>
      </c>
      <c r="B30" s="21" t="s">
        <v>785</v>
      </c>
      <c r="C30" s="32" t="s">
        <v>531</v>
      </c>
      <c r="D30" s="21" t="s">
        <v>962</v>
      </c>
      <c r="E30" s="21" t="s">
        <v>532</v>
      </c>
      <c r="G30" s="21" t="s">
        <v>1012</v>
      </c>
      <c r="H30" s="56">
        <v>45690.0</v>
      </c>
      <c r="I30" s="21" t="s">
        <v>1014</v>
      </c>
      <c r="J30" s="21">
        <v>422.0</v>
      </c>
      <c r="K30" s="21" t="s">
        <v>334</v>
      </c>
      <c r="L30" s="21" t="s">
        <v>965</v>
      </c>
      <c r="N30" s="21" t="s">
        <v>80</v>
      </c>
      <c r="P30" s="21" t="s">
        <v>80</v>
      </c>
      <c r="V30" s="21">
        <v>1994.0</v>
      </c>
      <c r="Z30" s="21" t="s">
        <v>50</v>
      </c>
      <c r="AA30" s="21" t="s">
        <v>976</v>
      </c>
      <c r="AB30" s="21" t="s">
        <v>51</v>
      </c>
      <c r="AC30" s="21" t="s">
        <v>977</v>
      </c>
      <c r="AD30" s="21">
        <v>3.773148</v>
      </c>
      <c r="AE30" s="21">
        <v>98.670029</v>
      </c>
      <c r="AF30" s="21" t="s">
        <v>971</v>
      </c>
      <c r="AG30" s="21" t="s">
        <v>533</v>
      </c>
      <c r="AJ30" s="21" t="s">
        <v>96</v>
      </c>
      <c r="AK30" s="21" t="s">
        <v>974</v>
      </c>
      <c r="AL30" s="21" t="s">
        <v>975</v>
      </c>
      <c r="AM30" s="21" t="s">
        <v>1011</v>
      </c>
      <c r="AR30" s="21" t="s">
        <v>49</v>
      </c>
    </row>
    <row r="31">
      <c r="A31" s="21" t="s">
        <v>517</v>
      </c>
      <c r="B31" s="21" t="s">
        <v>518</v>
      </c>
      <c r="C31" s="32" t="s">
        <v>519</v>
      </c>
      <c r="D31" s="21" t="s">
        <v>962</v>
      </c>
      <c r="E31" s="21" t="s">
        <v>520</v>
      </c>
      <c r="H31" s="21">
        <v>1.0</v>
      </c>
      <c r="I31" s="21" t="s">
        <v>1015</v>
      </c>
      <c r="J31" s="21">
        <v>60.0</v>
      </c>
      <c r="K31" s="21" t="s">
        <v>334</v>
      </c>
      <c r="L31" s="21" t="s">
        <v>63</v>
      </c>
      <c r="M31" s="21" t="s">
        <v>1016</v>
      </c>
      <c r="N31" s="21" t="s">
        <v>80</v>
      </c>
      <c r="P31" s="21" t="s">
        <v>80</v>
      </c>
      <c r="V31" s="21">
        <v>2022.0</v>
      </c>
      <c r="Z31" s="21" t="s">
        <v>50</v>
      </c>
      <c r="AA31" s="21" t="s">
        <v>976</v>
      </c>
      <c r="AB31" s="21" t="s">
        <v>51</v>
      </c>
      <c r="AC31" s="21" t="s">
        <v>977</v>
      </c>
      <c r="AD31" s="21">
        <v>-3.550482</v>
      </c>
      <c r="AE31" s="21">
        <v>128.335732</v>
      </c>
      <c r="AF31" s="21" t="s">
        <v>971</v>
      </c>
      <c r="AG31" s="21" t="s">
        <v>521</v>
      </c>
      <c r="AJ31" s="21" t="s">
        <v>522</v>
      </c>
      <c r="AK31" s="21" t="s">
        <v>974</v>
      </c>
      <c r="AL31" s="21" t="s">
        <v>975</v>
      </c>
      <c r="AR31" s="21" t="s">
        <v>49</v>
      </c>
    </row>
    <row r="32">
      <c r="A32" s="21" t="s">
        <v>510</v>
      </c>
      <c r="B32" s="21" t="s">
        <v>511</v>
      </c>
      <c r="C32" s="32" t="s">
        <v>512</v>
      </c>
      <c r="D32" s="21" t="s">
        <v>962</v>
      </c>
      <c r="E32" s="21" t="s">
        <v>513</v>
      </c>
      <c r="H32" s="21">
        <v>1.0</v>
      </c>
      <c r="I32" s="21" t="s">
        <v>1017</v>
      </c>
      <c r="J32" s="21">
        <v>60.0</v>
      </c>
      <c r="K32" s="21" t="s">
        <v>334</v>
      </c>
      <c r="L32" s="21" t="s">
        <v>63</v>
      </c>
      <c r="M32" s="21" t="s">
        <v>1016</v>
      </c>
      <c r="N32" s="21" t="s">
        <v>1018</v>
      </c>
      <c r="V32" s="21">
        <v>2024.0</v>
      </c>
      <c r="Z32" s="21" t="s">
        <v>516</v>
      </c>
      <c r="AA32" s="21" t="s">
        <v>1019</v>
      </c>
      <c r="AB32" s="21" t="s">
        <v>69</v>
      </c>
      <c r="AC32" s="21" t="s">
        <v>1020</v>
      </c>
      <c r="AD32" s="21">
        <v>-3.891103</v>
      </c>
      <c r="AE32" s="21">
        <v>121.279632</v>
      </c>
      <c r="AF32" s="21" t="s">
        <v>982</v>
      </c>
      <c r="AH32" s="21" t="s">
        <v>1021</v>
      </c>
      <c r="AI32" s="21" t="s">
        <v>1022</v>
      </c>
      <c r="AJ32" s="21" t="s">
        <v>514</v>
      </c>
      <c r="AK32" s="21" t="s">
        <v>974</v>
      </c>
      <c r="AL32" s="21" t="s">
        <v>975</v>
      </c>
      <c r="AO32" s="21" t="s">
        <v>309</v>
      </c>
      <c r="AP32" s="21" t="s">
        <v>515</v>
      </c>
      <c r="AR32" s="21" t="s">
        <v>49</v>
      </c>
    </row>
    <row r="33">
      <c r="A33" s="21" t="s">
        <v>592</v>
      </c>
      <c r="B33" s="21" t="s">
        <v>593</v>
      </c>
      <c r="C33" s="32" t="s">
        <v>594</v>
      </c>
      <c r="D33" s="21" t="s">
        <v>962</v>
      </c>
      <c r="E33" s="21" t="s">
        <v>595</v>
      </c>
      <c r="H33" s="21">
        <v>1.0</v>
      </c>
      <c r="I33" s="21" t="s">
        <v>979</v>
      </c>
      <c r="J33" s="21">
        <v>100.0</v>
      </c>
      <c r="K33" s="21" t="s">
        <v>334</v>
      </c>
      <c r="L33" s="21" t="s">
        <v>965</v>
      </c>
      <c r="N33" s="21" t="s">
        <v>80</v>
      </c>
      <c r="P33" s="21" t="s">
        <v>80</v>
      </c>
      <c r="V33" s="21" t="s">
        <v>80</v>
      </c>
      <c r="Z33" s="21" t="s">
        <v>50</v>
      </c>
      <c r="AA33" s="21" t="s">
        <v>976</v>
      </c>
      <c r="AB33" s="21" t="s">
        <v>51</v>
      </c>
      <c r="AC33" s="21" t="s">
        <v>977</v>
      </c>
      <c r="AD33" s="21">
        <v>-2.92344</v>
      </c>
      <c r="AE33" s="21">
        <v>104.87107</v>
      </c>
      <c r="AF33" s="21" t="s">
        <v>982</v>
      </c>
      <c r="AG33" s="21" t="s">
        <v>596</v>
      </c>
      <c r="AJ33" s="21" t="s">
        <v>358</v>
      </c>
      <c r="AK33" s="21" t="s">
        <v>974</v>
      </c>
      <c r="AL33" s="21" t="s">
        <v>975</v>
      </c>
      <c r="AR33" s="21" t="s">
        <v>62</v>
      </c>
    </row>
    <row r="34">
      <c r="A34" s="21" t="s">
        <v>545</v>
      </c>
      <c r="B34" s="21" t="s">
        <v>546</v>
      </c>
      <c r="C34" s="32" t="s">
        <v>547</v>
      </c>
      <c r="D34" s="21" t="s">
        <v>962</v>
      </c>
      <c r="E34" s="21" t="s">
        <v>548</v>
      </c>
      <c r="H34" s="21">
        <v>1.0</v>
      </c>
      <c r="I34" s="21" t="s">
        <v>991</v>
      </c>
      <c r="J34" s="21">
        <v>80.0</v>
      </c>
      <c r="K34" s="21" t="s">
        <v>334</v>
      </c>
      <c r="L34" s="21" t="s">
        <v>1013</v>
      </c>
      <c r="N34" s="21" t="s">
        <v>80</v>
      </c>
      <c r="P34" s="21" t="s">
        <v>80</v>
      </c>
      <c r="V34" s="21">
        <v>1978.0</v>
      </c>
      <c r="Z34" s="21" t="s">
        <v>89</v>
      </c>
      <c r="AA34" s="21" t="s">
        <v>1023</v>
      </c>
      <c r="AB34" s="21" t="s">
        <v>90</v>
      </c>
      <c r="AC34" s="21" t="s">
        <v>1024</v>
      </c>
      <c r="AD34" s="21">
        <v>-5.994087</v>
      </c>
      <c r="AE34" s="21">
        <v>105.984131</v>
      </c>
      <c r="AF34" s="21" t="s">
        <v>971</v>
      </c>
      <c r="AG34" s="21" t="s">
        <v>431</v>
      </c>
      <c r="AJ34" s="21" t="s">
        <v>87</v>
      </c>
      <c r="AK34" s="21" t="s">
        <v>974</v>
      </c>
      <c r="AL34" s="21" t="s">
        <v>975</v>
      </c>
      <c r="AR34" s="21" t="s">
        <v>49</v>
      </c>
    </row>
    <row r="35">
      <c r="A35" s="21" t="s">
        <v>545</v>
      </c>
      <c r="B35" s="21" t="s">
        <v>650</v>
      </c>
      <c r="C35" s="32" t="s">
        <v>547</v>
      </c>
      <c r="D35" s="21" t="s">
        <v>962</v>
      </c>
      <c r="E35" s="21" t="s">
        <v>548</v>
      </c>
      <c r="H35" s="21">
        <v>2.0</v>
      </c>
      <c r="I35" s="21" t="s">
        <v>979</v>
      </c>
      <c r="J35" s="21">
        <v>120.0</v>
      </c>
      <c r="K35" s="21" t="s">
        <v>334</v>
      </c>
      <c r="L35" s="21" t="s">
        <v>965</v>
      </c>
      <c r="N35" s="21" t="s">
        <v>80</v>
      </c>
      <c r="P35" s="21" t="s">
        <v>80</v>
      </c>
      <c r="V35" s="21">
        <v>2015.0</v>
      </c>
      <c r="Z35" s="21" t="s">
        <v>89</v>
      </c>
      <c r="AA35" s="21" t="s">
        <v>1023</v>
      </c>
      <c r="AB35" s="21" t="s">
        <v>90</v>
      </c>
      <c r="AC35" s="21" t="s">
        <v>1024</v>
      </c>
      <c r="AD35" s="21">
        <v>-5.994087</v>
      </c>
      <c r="AE35" s="21">
        <v>105.984131</v>
      </c>
      <c r="AF35" s="21" t="s">
        <v>971</v>
      </c>
      <c r="AG35" s="21" t="s">
        <v>431</v>
      </c>
      <c r="AJ35" s="21" t="s">
        <v>87</v>
      </c>
      <c r="AK35" s="21" t="s">
        <v>974</v>
      </c>
      <c r="AL35" s="21" t="s">
        <v>975</v>
      </c>
      <c r="AR35" s="21" t="s">
        <v>62</v>
      </c>
    </row>
    <row r="36">
      <c r="A36" s="21" t="s">
        <v>545</v>
      </c>
      <c r="B36" s="21" t="s">
        <v>549</v>
      </c>
      <c r="C36" s="32" t="s">
        <v>547</v>
      </c>
      <c r="D36" s="21" t="s">
        <v>962</v>
      </c>
      <c r="E36" s="21" t="s">
        <v>548</v>
      </c>
      <c r="H36" s="21">
        <v>3.0</v>
      </c>
      <c r="I36" s="21" t="s">
        <v>991</v>
      </c>
      <c r="J36" s="21">
        <v>80.0</v>
      </c>
      <c r="K36" s="21" t="s">
        <v>334</v>
      </c>
      <c r="L36" s="21" t="s">
        <v>1013</v>
      </c>
      <c r="N36" s="21" t="s">
        <v>80</v>
      </c>
      <c r="P36" s="21" t="s">
        <v>80</v>
      </c>
      <c r="V36" s="21">
        <v>1978.0</v>
      </c>
      <c r="Z36" s="21" t="s">
        <v>89</v>
      </c>
      <c r="AA36" s="21" t="s">
        <v>1023</v>
      </c>
      <c r="AB36" s="21" t="s">
        <v>90</v>
      </c>
      <c r="AC36" s="21" t="s">
        <v>1024</v>
      </c>
      <c r="AD36" s="21">
        <v>-5.994087</v>
      </c>
      <c r="AE36" s="21">
        <v>105.984131</v>
      </c>
      <c r="AF36" s="21" t="s">
        <v>971</v>
      </c>
      <c r="AG36" s="21" t="s">
        <v>431</v>
      </c>
      <c r="AJ36" s="21" t="s">
        <v>87</v>
      </c>
      <c r="AK36" s="21" t="s">
        <v>974</v>
      </c>
      <c r="AL36" s="21" t="s">
        <v>975</v>
      </c>
      <c r="AR36" s="21" t="s">
        <v>49</v>
      </c>
    </row>
    <row r="37">
      <c r="A37" s="21" t="s">
        <v>545</v>
      </c>
      <c r="B37" s="21" t="s">
        <v>550</v>
      </c>
      <c r="C37" s="32" t="s">
        <v>547</v>
      </c>
      <c r="D37" s="21" t="s">
        <v>962</v>
      </c>
      <c r="E37" s="21" t="s">
        <v>548</v>
      </c>
      <c r="H37" s="21">
        <v>4.0</v>
      </c>
      <c r="I37" s="21" t="s">
        <v>991</v>
      </c>
      <c r="J37" s="21">
        <v>80.0</v>
      </c>
      <c r="K37" s="21" t="s">
        <v>334</v>
      </c>
      <c r="L37" s="21" t="s">
        <v>1013</v>
      </c>
      <c r="N37" s="21" t="s">
        <v>80</v>
      </c>
      <c r="P37" s="21" t="s">
        <v>80</v>
      </c>
      <c r="V37" s="21">
        <v>1978.0</v>
      </c>
      <c r="Z37" s="21" t="s">
        <v>89</v>
      </c>
      <c r="AA37" s="21" t="s">
        <v>1023</v>
      </c>
      <c r="AB37" s="21" t="s">
        <v>90</v>
      </c>
      <c r="AC37" s="21" t="s">
        <v>1024</v>
      </c>
      <c r="AD37" s="21">
        <v>-5.994087</v>
      </c>
      <c r="AE37" s="21">
        <v>105.984131</v>
      </c>
      <c r="AF37" s="21" t="s">
        <v>971</v>
      </c>
      <c r="AG37" s="21" t="s">
        <v>431</v>
      </c>
      <c r="AJ37" s="21" t="s">
        <v>87</v>
      </c>
      <c r="AK37" s="21" t="s">
        <v>974</v>
      </c>
      <c r="AL37" s="21" t="s">
        <v>975</v>
      </c>
      <c r="AR37" s="21" t="s">
        <v>49</v>
      </c>
    </row>
    <row r="38">
      <c r="A38" s="21" t="s">
        <v>545</v>
      </c>
      <c r="B38" s="21" t="s">
        <v>551</v>
      </c>
      <c r="C38" s="32" t="s">
        <v>547</v>
      </c>
      <c r="D38" s="21" t="s">
        <v>962</v>
      </c>
      <c r="E38" s="21" t="s">
        <v>548</v>
      </c>
      <c r="H38" s="21">
        <v>5.0</v>
      </c>
      <c r="I38" s="21" t="s">
        <v>991</v>
      </c>
      <c r="J38" s="21">
        <v>80.0</v>
      </c>
      <c r="K38" s="21" t="s">
        <v>334</v>
      </c>
      <c r="L38" s="21" t="s">
        <v>1013</v>
      </c>
      <c r="N38" s="21" t="s">
        <v>80</v>
      </c>
      <c r="P38" s="21" t="s">
        <v>80</v>
      </c>
      <c r="V38" s="21">
        <v>1978.0</v>
      </c>
      <c r="Z38" s="21" t="s">
        <v>89</v>
      </c>
      <c r="AA38" s="21" t="s">
        <v>1023</v>
      </c>
      <c r="AB38" s="21" t="s">
        <v>90</v>
      </c>
      <c r="AC38" s="21" t="s">
        <v>1024</v>
      </c>
      <c r="AD38" s="21">
        <v>-5.994087</v>
      </c>
      <c r="AE38" s="21">
        <v>105.984131</v>
      </c>
      <c r="AF38" s="21" t="s">
        <v>971</v>
      </c>
      <c r="AG38" s="21" t="s">
        <v>431</v>
      </c>
      <c r="AJ38" s="21" t="s">
        <v>87</v>
      </c>
      <c r="AK38" s="21" t="s">
        <v>974</v>
      </c>
      <c r="AL38" s="21" t="s">
        <v>975</v>
      </c>
      <c r="AR38" s="21" t="s">
        <v>49</v>
      </c>
    </row>
    <row r="39">
      <c r="A39" s="21" t="s">
        <v>545</v>
      </c>
      <c r="B39" s="21" t="s">
        <v>552</v>
      </c>
      <c r="C39" s="32" t="s">
        <v>547</v>
      </c>
      <c r="D39" s="21" t="s">
        <v>962</v>
      </c>
      <c r="E39" s="21" t="s">
        <v>548</v>
      </c>
      <c r="H39" s="21">
        <v>6.0</v>
      </c>
      <c r="I39" s="21" t="s">
        <v>991</v>
      </c>
      <c r="J39" s="21">
        <v>80.0</v>
      </c>
      <c r="K39" s="21" t="s">
        <v>334</v>
      </c>
      <c r="L39" s="21" t="s">
        <v>1013</v>
      </c>
      <c r="N39" s="21" t="s">
        <v>80</v>
      </c>
      <c r="P39" s="21" t="s">
        <v>80</v>
      </c>
      <c r="V39" s="21">
        <v>1978.0</v>
      </c>
      <c r="Z39" s="21" t="s">
        <v>89</v>
      </c>
      <c r="AA39" s="21" t="s">
        <v>1023</v>
      </c>
      <c r="AB39" s="21" t="s">
        <v>90</v>
      </c>
      <c r="AC39" s="21" t="s">
        <v>1024</v>
      </c>
      <c r="AD39" s="21">
        <v>-5.994087</v>
      </c>
      <c r="AE39" s="21">
        <v>105.984131</v>
      </c>
      <c r="AF39" s="21" t="s">
        <v>971</v>
      </c>
      <c r="AG39" s="21" t="s">
        <v>431</v>
      </c>
      <c r="AJ39" s="21" t="s">
        <v>87</v>
      </c>
      <c r="AK39" s="21" t="s">
        <v>974</v>
      </c>
      <c r="AL39" s="21" t="s">
        <v>975</v>
      </c>
      <c r="AR39" s="21" t="s">
        <v>49</v>
      </c>
    </row>
    <row r="40">
      <c r="A40" s="21" t="s">
        <v>818</v>
      </c>
      <c r="B40" s="21" t="s">
        <v>819</v>
      </c>
      <c r="C40" s="32" t="s">
        <v>820</v>
      </c>
      <c r="D40" s="21" t="s">
        <v>962</v>
      </c>
      <c r="E40" s="21" t="s">
        <v>821</v>
      </c>
      <c r="H40" s="21">
        <v>1.0</v>
      </c>
      <c r="I40" s="21" t="s">
        <v>979</v>
      </c>
      <c r="J40" s="21">
        <v>740.0</v>
      </c>
      <c r="K40" s="21" t="s">
        <v>334</v>
      </c>
      <c r="L40" s="21" t="s">
        <v>965</v>
      </c>
      <c r="N40" s="21" t="s">
        <v>80</v>
      </c>
      <c r="P40" s="21" t="s">
        <v>80</v>
      </c>
      <c r="V40" s="21">
        <v>2007.0</v>
      </c>
      <c r="Z40" s="21" t="s">
        <v>472</v>
      </c>
      <c r="AA40" s="21" t="s">
        <v>1025</v>
      </c>
      <c r="AB40" s="21" t="s">
        <v>51</v>
      </c>
      <c r="AC40" s="21" t="s">
        <v>977</v>
      </c>
      <c r="AD40" s="21">
        <v>-5.9306</v>
      </c>
      <c r="AE40" s="21">
        <v>106.1042</v>
      </c>
      <c r="AF40" s="21" t="s">
        <v>971</v>
      </c>
      <c r="AG40" s="21" t="s">
        <v>822</v>
      </c>
      <c r="AJ40" s="21" t="s">
        <v>87</v>
      </c>
      <c r="AK40" s="21" t="s">
        <v>974</v>
      </c>
      <c r="AL40" s="21" t="s">
        <v>975</v>
      </c>
      <c r="AM40" s="21" t="s">
        <v>1026</v>
      </c>
      <c r="AR40" s="21" t="s">
        <v>62</v>
      </c>
    </row>
    <row r="41">
      <c r="A41" s="21" t="s">
        <v>558</v>
      </c>
      <c r="B41" s="21" t="s">
        <v>559</v>
      </c>
      <c r="C41" s="32" t="s">
        <v>560</v>
      </c>
      <c r="D41" s="21" t="s">
        <v>962</v>
      </c>
      <c r="E41" s="21" t="s">
        <v>561</v>
      </c>
      <c r="H41" s="21">
        <v>1.0</v>
      </c>
      <c r="I41" s="21" t="s">
        <v>979</v>
      </c>
      <c r="J41" s="21">
        <v>82.0</v>
      </c>
      <c r="K41" s="21" t="s">
        <v>334</v>
      </c>
      <c r="L41" s="21" t="s">
        <v>983</v>
      </c>
      <c r="N41" s="21" t="s">
        <v>80</v>
      </c>
      <c r="P41" s="21" t="s">
        <v>80</v>
      </c>
      <c r="V41" s="21" t="s">
        <v>80</v>
      </c>
      <c r="Z41" s="21" t="s">
        <v>564</v>
      </c>
      <c r="AA41" s="21" t="s">
        <v>1027</v>
      </c>
      <c r="AB41" s="21" t="s">
        <v>565</v>
      </c>
      <c r="AC41" s="21" t="s">
        <v>1028</v>
      </c>
      <c r="AD41" s="21">
        <v>-6.480331</v>
      </c>
      <c r="AE41" s="21">
        <v>106.899002</v>
      </c>
      <c r="AF41" s="21" t="s">
        <v>971</v>
      </c>
      <c r="AG41" s="21" t="s">
        <v>562</v>
      </c>
      <c r="AJ41" s="21" t="s">
        <v>448</v>
      </c>
      <c r="AK41" s="21" t="s">
        <v>974</v>
      </c>
      <c r="AL41" s="21" t="s">
        <v>975</v>
      </c>
      <c r="AO41" s="21" t="s">
        <v>309</v>
      </c>
      <c r="AP41" s="21" t="s">
        <v>563</v>
      </c>
      <c r="AR41" s="21" t="s">
        <v>62</v>
      </c>
    </row>
    <row r="42">
      <c r="A42" s="21" t="s">
        <v>630</v>
      </c>
      <c r="B42" s="21" t="s">
        <v>631</v>
      </c>
      <c r="C42" s="32" t="s">
        <v>632</v>
      </c>
      <c r="D42" s="21" t="s">
        <v>962</v>
      </c>
      <c r="E42" s="21" t="s">
        <v>633</v>
      </c>
      <c r="H42" s="21">
        <v>1.0</v>
      </c>
      <c r="I42" s="21" t="s">
        <v>979</v>
      </c>
      <c r="J42" s="21">
        <v>112.0</v>
      </c>
      <c r="K42" s="21" t="s">
        <v>334</v>
      </c>
      <c r="L42" s="21" t="s">
        <v>63</v>
      </c>
      <c r="N42" s="21" t="s">
        <v>80</v>
      </c>
      <c r="P42" s="21" t="s">
        <v>80</v>
      </c>
      <c r="V42" s="21">
        <v>2012.0</v>
      </c>
      <c r="Z42" s="21" t="s">
        <v>50</v>
      </c>
      <c r="AA42" s="21" t="s">
        <v>976</v>
      </c>
      <c r="AB42" s="21" t="s">
        <v>51</v>
      </c>
      <c r="AC42" s="21" t="s">
        <v>977</v>
      </c>
      <c r="AD42" s="21">
        <v>1.071237</v>
      </c>
      <c r="AE42" s="21">
        <v>101.281543</v>
      </c>
      <c r="AF42" s="21" t="s">
        <v>971</v>
      </c>
      <c r="AG42" s="21" t="s">
        <v>634</v>
      </c>
      <c r="AJ42" s="21" t="s">
        <v>320</v>
      </c>
      <c r="AK42" s="21" t="s">
        <v>974</v>
      </c>
      <c r="AL42" s="21" t="s">
        <v>975</v>
      </c>
      <c r="AR42" s="21" t="s">
        <v>62</v>
      </c>
    </row>
    <row r="43">
      <c r="A43" s="21" t="s">
        <v>684</v>
      </c>
      <c r="B43" s="21" t="s">
        <v>685</v>
      </c>
      <c r="C43" s="32" t="s">
        <v>686</v>
      </c>
      <c r="D43" s="21" t="s">
        <v>962</v>
      </c>
      <c r="E43" s="21" t="s">
        <v>687</v>
      </c>
      <c r="H43" s="21">
        <v>1.0</v>
      </c>
      <c r="I43" s="21" t="s">
        <v>979</v>
      </c>
      <c r="J43" s="21">
        <v>134.0</v>
      </c>
      <c r="K43" s="21" t="s">
        <v>334</v>
      </c>
      <c r="L43" s="21" t="s">
        <v>983</v>
      </c>
      <c r="N43" s="21" t="s">
        <v>80</v>
      </c>
      <c r="P43" s="21" t="s">
        <v>80</v>
      </c>
      <c r="V43" s="21">
        <v>1997.0</v>
      </c>
      <c r="Z43" s="21" t="s">
        <v>472</v>
      </c>
      <c r="AA43" s="21" t="s">
        <v>1025</v>
      </c>
      <c r="AB43" s="21" t="s">
        <v>51</v>
      </c>
      <c r="AC43" s="21" t="s">
        <v>977</v>
      </c>
      <c r="AD43" s="21">
        <v>-8.175555</v>
      </c>
      <c r="AE43" s="21">
        <v>114.442718</v>
      </c>
      <c r="AF43" s="21" t="s">
        <v>971</v>
      </c>
      <c r="AG43" s="21" t="s">
        <v>688</v>
      </c>
      <c r="AJ43" s="21" t="s">
        <v>229</v>
      </c>
      <c r="AK43" s="21" t="s">
        <v>974</v>
      </c>
      <c r="AL43" s="21" t="s">
        <v>975</v>
      </c>
      <c r="AM43" s="21" t="s">
        <v>1029</v>
      </c>
      <c r="AR43" s="21" t="s">
        <v>62</v>
      </c>
    </row>
    <row r="44">
      <c r="A44" s="21" t="s">
        <v>597</v>
      </c>
      <c r="B44" s="21" t="s">
        <v>598</v>
      </c>
      <c r="C44" s="32" t="s">
        <v>599</v>
      </c>
      <c r="D44" s="21" t="s">
        <v>962</v>
      </c>
      <c r="E44" s="21" t="s">
        <v>600</v>
      </c>
      <c r="G44" s="21" t="s">
        <v>1030</v>
      </c>
      <c r="H44" s="21">
        <v>1.0</v>
      </c>
      <c r="I44" s="21" t="s">
        <v>979</v>
      </c>
      <c r="J44" s="21">
        <v>100.0</v>
      </c>
      <c r="K44" s="21" t="s">
        <v>334</v>
      </c>
      <c r="L44" s="21" t="s">
        <v>983</v>
      </c>
      <c r="N44" s="21" t="s">
        <v>80</v>
      </c>
      <c r="P44" s="21" t="s">
        <v>80</v>
      </c>
      <c r="V44" s="21">
        <v>2016.0</v>
      </c>
      <c r="Z44" s="21" t="s">
        <v>50</v>
      </c>
      <c r="AA44" s="21" t="s">
        <v>976</v>
      </c>
      <c r="AB44" s="21" t="s">
        <v>51</v>
      </c>
      <c r="AC44" s="21" t="s">
        <v>977</v>
      </c>
      <c r="AD44" s="21">
        <v>0.466894</v>
      </c>
      <c r="AE44" s="21">
        <v>122.006257</v>
      </c>
      <c r="AF44" s="21" t="s">
        <v>971</v>
      </c>
      <c r="AG44" s="21" t="s">
        <v>601</v>
      </c>
      <c r="AI44" s="21" t="s">
        <v>1031</v>
      </c>
      <c r="AJ44" s="21" t="s">
        <v>602</v>
      </c>
      <c r="AK44" s="21" t="s">
        <v>974</v>
      </c>
      <c r="AL44" s="21" t="s">
        <v>975</v>
      </c>
      <c r="AR44" s="21" t="s">
        <v>62</v>
      </c>
    </row>
    <row r="45">
      <c r="A45" s="21" t="s">
        <v>670</v>
      </c>
      <c r="B45" s="21" t="s">
        <v>671</v>
      </c>
      <c r="C45" s="32" t="s">
        <v>672</v>
      </c>
      <c r="D45" s="21" t="s">
        <v>962</v>
      </c>
      <c r="E45" s="21" t="s">
        <v>673</v>
      </c>
      <c r="H45" s="21">
        <v>1.0</v>
      </c>
      <c r="I45" s="21" t="s">
        <v>1032</v>
      </c>
      <c r="J45" s="21">
        <v>128.0</v>
      </c>
      <c r="K45" s="21" t="s">
        <v>334</v>
      </c>
      <c r="L45" s="21" t="s">
        <v>63</v>
      </c>
      <c r="N45" s="21" t="s">
        <v>80</v>
      </c>
      <c r="P45" s="21" t="s">
        <v>80</v>
      </c>
      <c r="V45" s="21">
        <v>2022.0</v>
      </c>
      <c r="Z45" s="21" t="s">
        <v>675</v>
      </c>
      <c r="AA45" s="21" t="s">
        <v>1033</v>
      </c>
      <c r="AB45" s="21" t="s">
        <v>676</v>
      </c>
      <c r="AC45" s="21" t="s">
        <v>1034</v>
      </c>
      <c r="AD45" s="21">
        <v>-4.146757</v>
      </c>
      <c r="AE45" s="21">
        <v>137.092796</v>
      </c>
      <c r="AF45" s="21" t="s">
        <v>971</v>
      </c>
      <c r="AG45" s="21" t="s">
        <v>674</v>
      </c>
      <c r="AK45" s="21" t="s">
        <v>974</v>
      </c>
      <c r="AL45" s="21" t="s">
        <v>975</v>
      </c>
      <c r="AO45" s="21" t="s">
        <v>309</v>
      </c>
      <c r="AP45" s="21" t="s">
        <v>327</v>
      </c>
      <c r="AR45" s="21" t="s">
        <v>49</v>
      </c>
    </row>
    <row r="46">
      <c r="A46" s="21" t="s">
        <v>786</v>
      </c>
      <c r="B46" s="21" t="s">
        <v>792</v>
      </c>
      <c r="C46" s="32" t="s">
        <v>788</v>
      </c>
      <c r="D46" s="21" t="s">
        <v>962</v>
      </c>
      <c r="E46" s="21" t="s">
        <v>789</v>
      </c>
      <c r="G46" s="21" t="s">
        <v>1035</v>
      </c>
      <c r="H46" s="21">
        <v>1.0</v>
      </c>
      <c r="I46" s="21" t="s">
        <v>991</v>
      </c>
      <c r="J46" s="21">
        <v>456.0</v>
      </c>
      <c r="K46" s="21" t="s">
        <v>334</v>
      </c>
      <c r="L46" s="21" t="s">
        <v>965</v>
      </c>
      <c r="N46" s="21" t="s">
        <v>80</v>
      </c>
      <c r="V46" s="21">
        <v>1997.0</v>
      </c>
      <c r="Z46" s="21" t="s">
        <v>472</v>
      </c>
      <c r="AA46" s="21" t="s">
        <v>1025</v>
      </c>
      <c r="AB46" s="21" t="s">
        <v>51</v>
      </c>
      <c r="AC46" s="21" t="s">
        <v>977</v>
      </c>
      <c r="AD46" s="21">
        <v>-7.6517</v>
      </c>
      <c r="AE46" s="21">
        <v>113.0244</v>
      </c>
      <c r="AF46" s="21" t="s">
        <v>971</v>
      </c>
      <c r="AG46" s="21" t="s">
        <v>790</v>
      </c>
      <c r="AJ46" s="21" t="s">
        <v>103</v>
      </c>
      <c r="AK46" s="21" t="s">
        <v>974</v>
      </c>
      <c r="AL46" s="21" t="s">
        <v>975</v>
      </c>
      <c r="AR46" s="21" t="s">
        <v>49</v>
      </c>
    </row>
    <row r="47">
      <c r="A47" s="21" t="s">
        <v>786</v>
      </c>
      <c r="B47" s="21" t="s">
        <v>787</v>
      </c>
      <c r="C47" s="32" t="s">
        <v>788</v>
      </c>
      <c r="D47" s="21" t="s">
        <v>962</v>
      </c>
      <c r="E47" s="21" t="s">
        <v>789</v>
      </c>
      <c r="G47" s="21" t="s">
        <v>1035</v>
      </c>
      <c r="H47" s="21">
        <v>2.0</v>
      </c>
      <c r="I47" s="21" t="s">
        <v>979</v>
      </c>
      <c r="J47" s="21">
        <v>450.0</v>
      </c>
      <c r="K47" s="21" t="s">
        <v>334</v>
      </c>
      <c r="L47" s="21" t="s">
        <v>965</v>
      </c>
      <c r="N47" s="21" t="s">
        <v>80</v>
      </c>
      <c r="V47" s="21">
        <v>2020.0</v>
      </c>
      <c r="Z47" s="21" t="s">
        <v>472</v>
      </c>
      <c r="AA47" s="21" t="s">
        <v>1025</v>
      </c>
      <c r="AB47" s="21" t="s">
        <v>51</v>
      </c>
      <c r="AC47" s="21" t="s">
        <v>977</v>
      </c>
      <c r="AD47" s="21">
        <v>-7.6517</v>
      </c>
      <c r="AE47" s="21">
        <v>113.0244</v>
      </c>
      <c r="AF47" s="21" t="s">
        <v>971</v>
      </c>
      <c r="AG47" s="21" t="s">
        <v>790</v>
      </c>
      <c r="AJ47" s="21" t="s">
        <v>103</v>
      </c>
      <c r="AK47" s="21" t="s">
        <v>974</v>
      </c>
      <c r="AL47" s="21" t="s">
        <v>975</v>
      </c>
      <c r="AR47" s="21" t="s">
        <v>62</v>
      </c>
    </row>
    <row r="48">
      <c r="A48" s="21" t="s">
        <v>786</v>
      </c>
      <c r="B48" s="21" t="s">
        <v>791</v>
      </c>
      <c r="C48" s="32" t="s">
        <v>788</v>
      </c>
      <c r="D48" s="21" t="s">
        <v>962</v>
      </c>
      <c r="E48" s="21" t="s">
        <v>789</v>
      </c>
      <c r="G48" s="21" t="s">
        <v>1035</v>
      </c>
      <c r="H48" s="56">
        <v>45660.0</v>
      </c>
      <c r="I48" s="21" t="s">
        <v>979</v>
      </c>
      <c r="J48" s="21">
        <v>450.0</v>
      </c>
      <c r="K48" s="21" t="s">
        <v>334</v>
      </c>
      <c r="L48" s="21" t="s">
        <v>965</v>
      </c>
      <c r="N48" s="21" t="s">
        <v>80</v>
      </c>
      <c r="V48" s="21">
        <v>2019.0</v>
      </c>
      <c r="Z48" s="21" t="s">
        <v>472</v>
      </c>
      <c r="AA48" s="21" t="s">
        <v>1025</v>
      </c>
      <c r="AB48" s="21" t="s">
        <v>51</v>
      </c>
      <c r="AC48" s="21" t="s">
        <v>977</v>
      </c>
      <c r="AD48" s="21">
        <v>-7.6517</v>
      </c>
      <c r="AE48" s="21">
        <v>113.0244</v>
      </c>
      <c r="AF48" s="21" t="s">
        <v>971</v>
      </c>
      <c r="AG48" s="21" t="s">
        <v>790</v>
      </c>
      <c r="AJ48" s="21" t="s">
        <v>103</v>
      </c>
      <c r="AK48" s="21" t="s">
        <v>974</v>
      </c>
      <c r="AL48" s="21" t="s">
        <v>975</v>
      </c>
      <c r="AR48" s="21" t="s">
        <v>62</v>
      </c>
    </row>
    <row r="49">
      <c r="A49" s="21" t="s">
        <v>797</v>
      </c>
      <c r="B49" s="21" t="s">
        <v>798</v>
      </c>
      <c r="C49" s="32" t="s">
        <v>799</v>
      </c>
      <c r="D49" s="21" t="s">
        <v>962</v>
      </c>
      <c r="E49" s="21" t="s">
        <v>800</v>
      </c>
      <c r="H49" s="21">
        <v>2.0</v>
      </c>
      <c r="I49" s="21" t="s">
        <v>979</v>
      </c>
      <c r="J49" s="21">
        <v>500.0</v>
      </c>
      <c r="K49" s="21" t="s">
        <v>334</v>
      </c>
      <c r="L49" s="21" t="s">
        <v>983</v>
      </c>
      <c r="N49" s="21" t="s">
        <v>80</v>
      </c>
      <c r="V49" s="21">
        <v>2020.0</v>
      </c>
      <c r="Z49" s="21" t="s">
        <v>801</v>
      </c>
      <c r="AA49" s="21" t="s">
        <v>1036</v>
      </c>
      <c r="AB49" s="21" t="s">
        <v>802</v>
      </c>
      <c r="AC49" s="21" t="s">
        <v>1037</v>
      </c>
      <c r="AD49" s="21">
        <v>-7.089043</v>
      </c>
      <c r="AE49" s="21">
        <v>112.606961</v>
      </c>
      <c r="AF49" s="21" t="s">
        <v>971</v>
      </c>
      <c r="AG49" s="21" t="s">
        <v>344</v>
      </c>
      <c r="AJ49" s="21" t="s">
        <v>103</v>
      </c>
      <c r="AK49" s="21" t="s">
        <v>974</v>
      </c>
      <c r="AL49" s="21" t="s">
        <v>975</v>
      </c>
      <c r="AR49" s="21" t="s">
        <v>62</v>
      </c>
    </row>
    <row r="50">
      <c r="A50" s="21" t="s">
        <v>603</v>
      </c>
      <c r="B50" s="21" t="s">
        <v>807</v>
      </c>
      <c r="C50" s="32" t="s">
        <v>605</v>
      </c>
      <c r="D50" s="21" t="s">
        <v>962</v>
      </c>
      <c r="E50" s="21" t="s">
        <v>606</v>
      </c>
      <c r="H50" s="21" t="s">
        <v>963</v>
      </c>
      <c r="I50" s="21" t="s">
        <v>991</v>
      </c>
      <c r="J50" s="21">
        <v>526.0</v>
      </c>
      <c r="K50" s="21" t="s">
        <v>334</v>
      </c>
      <c r="L50" s="21" t="s">
        <v>965</v>
      </c>
      <c r="N50" s="21" t="s">
        <v>80</v>
      </c>
      <c r="V50" s="21">
        <v>1993.0</v>
      </c>
      <c r="Z50" s="21" t="s">
        <v>97</v>
      </c>
      <c r="AA50" s="21" t="s">
        <v>1038</v>
      </c>
      <c r="AB50" s="21" t="s">
        <v>51</v>
      </c>
      <c r="AC50" s="21" t="s">
        <v>977</v>
      </c>
      <c r="AD50" s="21">
        <v>-7.1633</v>
      </c>
      <c r="AE50" s="21">
        <v>112.6615</v>
      </c>
      <c r="AF50" s="21" t="s">
        <v>971</v>
      </c>
      <c r="AG50" s="21" t="s">
        <v>607</v>
      </c>
      <c r="AJ50" s="21" t="s">
        <v>103</v>
      </c>
      <c r="AK50" s="21" t="s">
        <v>974</v>
      </c>
      <c r="AL50" s="21" t="s">
        <v>975</v>
      </c>
      <c r="AM50" s="21" t="s">
        <v>1039</v>
      </c>
      <c r="AR50" s="21" t="s">
        <v>49</v>
      </c>
    </row>
    <row r="51">
      <c r="A51" s="21" t="s">
        <v>603</v>
      </c>
      <c r="B51" s="21" t="s">
        <v>808</v>
      </c>
      <c r="C51" s="32" t="s">
        <v>605</v>
      </c>
      <c r="D51" s="21" t="s">
        <v>962</v>
      </c>
      <c r="E51" s="21" t="s">
        <v>606</v>
      </c>
      <c r="H51" s="21" t="s">
        <v>1040</v>
      </c>
      <c r="I51" s="21" t="s">
        <v>991</v>
      </c>
      <c r="J51" s="21">
        <v>526.0</v>
      </c>
      <c r="K51" s="21" t="s">
        <v>334</v>
      </c>
      <c r="L51" s="21" t="s">
        <v>965</v>
      </c>
      <c r="N51" s="21" t="s">
        <v>80</v>
      </c>
      <c r="V51" s="21">
        <v>1993.0</v>
      </c>
      <c r="Z51" s="21" t="s">
        <v>97</v>
      </c>
      <c r="AA51" s="21" t="s">
        <v>1038</v>
      </c>
      <c r="AB51" s="21" t="s">
        <v>51</v>
      </c>
      <c r="AC51" s="21" t="s">
        <v>977</v>
      </c>
      <c r="AD51" s="21">
        <v>-7.1633</v>
      </c>
      <c r="AE51" s="21">
        <v>112.6615</v>
      </c>
      <c r="AF51" s="21" t="s">
        <v>971</v>
      </c>
      <c r="AG51" s="21" t="s">
        <v>607</v>
      </c>
      <c r="AJ51" s="21" t="s">
        <v>103</v>
      </c>
      <c r="AK51" s="21" t="s">
        <v>974</v>
      </c>
      <c r="AL51" s="21" t="s">
        <v>975</v>
      </c>
      <c r="AM51" s="21" t="s">
        <v>1039</v>
      </c>
      <c r="AR51" s="21" t="s">
        <v>49</v>
      </c>
    </row>
    <row r="52">
      <c r="A52" s="21" t="s">
        <v>603</v>
      </c>
      <c r="B52" s="21" t="s">
        <v>809</v>
      </c>
      <c r="C52" s="32" t="s">
        <v>605</v>
      </c>
      <c r="D52" s="21" t="s">
        <v>962</v>
      </c>
      <c r="E52" s="21" t="s">
        <v>606</v>
      </c>
      <c r="H52" s="21" t="s">
        <v>1041</v>
      </c>
      <c r="I52" s="21" t="s">
        <v>991</v>
      </c>
      <c r="J52" s="21">
        <v>526.0</v>
      </c>
      <c r="K52" s="21" t="s">
        <v>334</v>
      </c>
      <c r="L52" s="21" t="s">
        <v>965</v>
      </c>
      <c r="N52" s="21" t="s">
        <v>80</v>
      </c>
      <c r="V52" s="21">
        <v>1993.0</v>
      </c>
      <c r="Z52" s="21" t="s">
        <v>97</v>
      </c>
      <c r="AA52" s="21" t="s">
        <v>1038</v>
      </c>
      <c r="AB52" s="21" t="s">
        <v>51</v>
      </c>
      <c r="AC52" s="21" t="s">
        <v>977</v>
      </c>
      <c r="AD52" s="21">
        <v>-7.1633</v>
      </c>
      <c r="AE52" s="21">
        <v>112.6615</v>
      </c>
      <c r="AF52" s="21" t="s">
        <v>971</v>
      </c>
      <c r="AG52" s="21" t="s">
        <v>607</v>
      </c>
      <c r="AJ52" s="21" t="s">
        <v>103</v>
      </c>
      <c r="AK52" s="21" t="s">
        <v>974</v>
      </c>
      <c r="AL52" s="21" t="s">
        <v>975</v>
      </c>
      <c r="AM52" s="21" t="s">
        <v>1039</v>
      </c>
      <c r="AR52" s="21" t="s">
        <v>49</v>
      </c>
    </row>
    <row r="53">
      <c r="A53" s="21" t="s">
        <v>603</v>
      </c>
      <c r="B53" s="21" t="s">
        <v>604</v>
      </c>
      <c r="C53" s="32" t="s">
        <v>605</v>
      </c>
      <c r="D53" s="21" t="s">
        <v>962</v>
      </c>
      <c r="E53" s="21" t="s">
        <v>606</v>
      </c>
      <c r="H53" s="21" t="s">
        <v>1042</v>
      </c>
      <c r="I53" s="21" t="s">
        <v>991</v>
      </c>
      <c r="J53" s="21">
        <v>100.0</v>
      </c>
      <c r="K53" s="21" t="s">
        <v>334</v>
      </c>
      <c r="L53" s="21" t="s">
        <v>1013</v>
      </c>
      <c r="N53" s="21" t="s">
        <v>80</v>
      </c>
      <c r="V53" s="21">
        <v>1980.0</v>
      </c>
      <c r="Z53" s="21" t="s">
        <v>97</v>
      </c>
      <c r="AA53" s="21" t="s">
        <v>1038</v>
      </c>
      <c r="AB53" s="21" t="s">
        <v>51</v>
      </c>
      <c r="AC53" s="21" t="s">
        <v>977</v>
      </c>
      <c r="AD53" s="21">
        <v>-7.1633</v>
      </c>
      <c r="AE53" s="21">
        <v>112.6615</v>
      </c>
      <c r="AF53" s="21" t="s">
        <v>971</v>
      </c>
      <c r="AG53" s="21" t="s">
        <v>607</v>
      </c>
      <c r="AJ53" s="21" t="s">
        <v>103</v>
      </c>
      <c r="AK53" s="21" t="s">
        <v>974</v>
      </c>
      <c r="AL53" s="21" t="s">
        <v>975</v>
      </c>
      <c r="AM53" s="21" t="s">
        <v>1039</v>
      </c>
      <c r="AR53" s="21" t="s">
        <v>49</v>
      </c>
    </row>
    <row r="54">
      <c r="A54" s="21" t="s">
        <v>603</v>
      </c>
      <c r="B54" s="21" t="s">
        <v>608</v>
      </c>
      <c r="C54" s="32" t="s">
        <v>605</v>
      </c>
      <c r="D54" s="21" t="s">
        <v>962</v>
      </c>
      <c r="E54" s="21" t="s">
        <v>606</v>
      </c>
      <c r="H54" s="21" t="s">
        <v>1043</v>
      </c>
      <c r="I54" s="21" t="s">
        <v>991</v>
      </c>
      <c r="J54" s="21">
        <v>100.0</v>
      </c>
      <c r="K54" s="21" t="s">
        <v>334</v>
      </c>
      <c r="L54" s="21" t="s">
        <v>1013</v>
      </c>
      <c r="N54" s="21" t="s">
        <v>80</v>
      </c>
      <c r="V54" s="21">
        <v>1981.0</v>
      </c>
      <c r="Z54" s="21" t="s">
        <v>97</v>
      </c>
      <c r="AA54" s="21" t="s">
        <v>1038</v>
      </c>
      <c r="AB54" s="21" t="s">
        <v>51</v>
      </c>
      <c r="AC54" s="21" t="s">
        <v>977</v>
      </c>
      <c r="AD54" s="21">
        <v>-7.1633</v>
      </c>
      <c r="AE54" s="21">
        <v>112.6615</v>
      </c>
      <c r="AF54" s="21" t="s">
        <v>971</v>
      </c>
      <c r="AG54" s="21" t="s">
        <v>607</v>
      </c>
      <c r="AJ54" s="21" t="s">
        <v>103</v>
      </c>
      <c r="AK54" s="21" t="s">
        <v>974</v>
      </c>
      <c r="AL54" s="21" t="s">
        <v>975</v>
      </c>
      <c r="AM54" s="21" t="s">
        <v>1039</v>
      </c>
      <c r="AR54" s="21" t="s">
        <v>49</v>
      </c>
    </row>
    <row r="55">
      <c r="A55" s="21" t="s">
        <v>603</v>
      </c>
      <c r="B55" s="21" t="s">
        <v>746</v>
      </c>
      <c r="C55" s="32" t="s">
        <v>605</v>
      </c>
      <c r="D55" s="21" t="s">
        <v>962</v>
      </c>
      <c r="E55" s="21" t="s">
        <v>606</v>
      </c>
      <c r="H55" s="21" t="s">
        <v>1044</v>
      </c>
      <c r="I55" s="21" t="s">
        <v>991</v>
      </c>
      <c r="J55" s="21">
        <v>200.0</v>
      </c>
      <c r="K55" s="21" t="s">
        <v>334</v>
      </c>
      <c r="L55" s="21" t="s">
        <v>1013</v>
      </c>
      <c r="N55" s="21" t="s">
        <v>80</v>
      </c>
      <c r="V55" s="21">
        <v>1988.0</v>
      </c>
      <c r="Z55" s="21" t="s">
        <v>97</v>
      </c>
      <c r="AA55" s="21" t="s">
        <v>1038</v>
      </c>
      <c r="AB55" s="21" t="s">
        <v>51</v>
      </c>
      <c r="AC55" s="21" t="s">
        <v>977</v>
      </c>
      <c r="AD55" s="21">
        <v>-7.1633</v>
      </c>
      <c r="AE55" s="21">
        <v>112.6615</v>
      </c>
      <c r="AF55" s="21" t="s">
        <v>971</v>
      </c>
      <c r="AG55" s="21" t="s">
        <v>607</v>
      </c>
      <c r="AJ55" s="21" t="s">
        <v>103</v>
      </c>
      <c r="AK55" s="21" t="s">
        <v>974</v>
      </c>
      <c r="AL55" s="21" t="s">
        <v>975</v>
      </c>
      <c r="AM55" s="21" t="s">
        <v>1039</v>
      </c>
      <c r="AR55" s="21" t="s">
        <v>49</v>
      </c>
    </row>
    <row r="56">
      <c r="A56" s="21" t="s">
        <v>603</v>
      </c>
      <c r="B56" s="21" t="s">
        <v>747</v>
      </c>
      <c r="C56" s="32" t="s">
        <v>605</v>
      </c>
      <c r="D56" s="21" t="s">
        <v>962</v>
      </c>
      <c r="E56" s="21" t="s">
        <v>606</v>
      </c>
      <c r="H56" s="21" t="s">
        <v>1045</v>
      </c>
      <c r="I56" s="21" t="s">
        <v>991</v>
      </c>
      <c r="J56" s="21">
        <v>200.0</v>
      </c>
      <c r="K56" s="21" t="s">
        <v>334</v>
      </c>
      <c r="L56" s="21" t="s">
        <v>1013</v>
      </c>
      <c r="N56" s="21" t="s">
        <v>80</v>
      </c>
      <c r="V56" s="21">
        <v>1988.0</v>
      </c>
      <c r="Z56" s="21" t="s">
        <v>97</v>
      </c>
      <c r="AA56" s="21" t="s">
        <v>1038</v>
      </c>
      <c r="AB56" s="21" t="s">
        <v>51</v>
      </c>
      <c r="AC56" s="21" t="s">
        <v>977</v>
      </c>
      <c r="AD56" s="21">
        <v>-7.1633</v>
      </c>
      <c r="AE56" s="21">
        <v>112.6615</v>
      </c>
      <c r="AF56" s="21" t="s">
        <v>971</v>
      </c>
      <c r="AG56" s="21" t="s">
        <v>607</v>
      </c>
      <c r="AJ56" s="21" t="s">
        <v>103</v>
      </c>
      <c r="AK56" s="21" t="s">
        <v>974</v>
      </c>
      <c r="AL56" s="21" t="s">
        <v>975</v>
      </c>
      <c r="AM56" s="21" t="s">
        <v>1039</v>
      </c>
      <c r="AR56" s="21" t="s">
        <v>49</v>
      </c>
    </row>
    <row r="57">
      <c r="A57" s="21" t="s">
        <v>617</v>
      </c>
      <c r="B57" s="21" t="s">
        <v>618</v>
      </c>
      <c r="C57" s="32" t="s">
        <v>619</v>
      </c>
      <c r="D57" s="21" t="s">
        <v>962</v>
      </c>
      <c r="E57" s="21" t="s">
        <v>620</v>
      </c>
      <c r="H57" s="21">
        <v>1.0</v>
      </c>
      <c r="I57" s="21" t="s">
        <v>979</v>
      </c>
      <c r="J57" s="21">
        <v>110.0</v>
      </c>
      <c r="K57" s="21" t="s">
        <v>334</v>
      </c>
      <c r="L57" s="21" t="s">
        <v>965</v>
      </c>
      <c r="N57" s="21" t="s">
        <v>80</v>
      </c>
      <c r="V57" s="21">
        <v>2014.0</v>
      </c>
      <c r="Z57" s="21" t="s">
        <v>622</v>
      </c>
      <c r="AA57" s="21" t="s">
        <v>1046</v>
      </c>
      <c r="AB57" s="21" t="s">
        <v>623</v>
      </c>
      <c r="AC57" s="21" t="s">
        <v>1047</v>
      </c>
      <c r="AD57" s="21">
        <v>-3.50702</v>
      </c>
      <c r="AE57" s="21">
        <v>103.800147</v>
      </c>
      <c r="AF57" s="21" t="s">
        <v>971</v>
      </c>
      <c r="AG57" s="21" t="s">
        <v>621</v>
      </c>
      <c r="AJ57" s="21" t="s">
        <v>358</v>
      </c>
      <c r="AK57" s="21" t="s">
        <v>974</v>
      </c>
      <c r="AL57" s="21" t="s">
        <v>975</v>
      </c>
      <c r="AR57" s="21" t="s">
        <v>62</v>
      </c>
    </row>
    <row r="58">
      <c r="A58" s="21" t="s">
        <v>656</v>
      </c>
      <c r="B58" s="21" t="s">
        <v>657</v>
      </c>
      <c r="C58" s="32" t="s">
        <v>658</v>
      </c>
      <c r="D58" s="21" t="s">
        <v>962</v>
      </c>
      <c r="E58" s="21" t="s">
        <v>659</v>
      </c>
      <c r="H58" s="21">
        <v>4.0</v>
      </c>
      <c r="I58" s="21" t="s">
        <v>979</v>
      </c>
      <c r="J58" s="21">
        <v>124.0</v>
      </c>
      <c r="K58" s="21" t="s">
        <v>334</v>
      </c>
      <c r="L58" s="21" t="s">
        <v>965</v>
      </c>
      <c r="N58" s="21" t="s">
        <v>80</v>
      </c>
      <c r="V58" s="21">
        <v>2008.0</v>
      </c>
      <c r="Z58" s="21" t="s">
        <v>50</v>
      </c>
      <c r="AA58" s="21" t="s">
        <v>976</v>
      </c>
      <c r="AB58" s="21" t="s">
        <v>51</v>
      </c>
      <c r="AC58" s="21" t="s">
        <v>977</v>
      </c>
      <c r="AD58" s="21">
        <v>-3.206744</v>
      </c>
      <c r="AE58" s="21">
        <v>104.656385</v>
      </c>
      <c r="AF58" s="21" t="s">
        <v>971</v>
      </c>
      <c r="AG58" s="21" t="s">
        <v>660</v>
      </c>
      <c r="AJ58" s="21" t="s">
        <v>358</v>
      </c>
      <c r="AK58" s="21" t="s">
        <v>974</v>
      </c>
      <c r="AL58" s="21" t="s">
        <v>975</v>
      </c>
      <c r="AR58" s="21" t="s">
        <v>62</v>
      </c>
    </row>
    <row r="59">
      <c r="A59" s="21" t="s">
        <v>610</v>
      </c>
      <c r="B59" s="21" t="s">
        <v>824</v>
      </c>
      <c r="C59" s="32" t="s">
        <v>612</v>
      </c>
      <c r="D59" s="21" t="s">
        <v>962</v>
      </c>
      <c r="E59" s="21" t="s">
        <v>613</v>
      </c>
      <c r="G59" s="21" t="s">
        <v>1048</v>
      </c>
      <c r="H59" s="21">
        <v>1.0</v>
      </c>
      <c r="I59" s="21" t="s">
        <v>979</v>
      </c>
      <c r="J59" s="21">
        <v>755.0</v>
      </c>
      <c r="K59" s="21" t="s">
        <v>334</v>
      </c>
      <c r="L59" s="21" t="s">
        <v>965</v>
      </c>
      <c r="N59" s="21" t="s">
        <v>80</v>
      </c>
      <c r="V59" s="21">
        <v>1993.0</v>
      </c>
      <c r="Z59" s="21" t="s">
        <v>615</v>
      </c>
      <c r="AA59" s="21" t="s">
        <v>1049</v>
      </c>
      <c r="AB59" s="21" t="s">
        <v>616</v>
      </c>
      <c r="AC59" s="21" t="s">
        <v>1050</v>
      </c>
      <c r="AD59" s="21">
        <v>-6.290774</v>
      </c>
      <c r="AE59" s="21">
        <v>107.120446</v>
      </c>
      <c r="AF59" s="21" t="s">
        <v>971</v>
      </c>
      <c r="AG59" s="21" t="s">
        <v>614</v>
      </c>
      <c r="AJ59" s="21" t="s">
        <v>448</v>
      </c>
      <c r="AK59" s="21" t="s">
        <v>974</v>
      </c>
      <c r="AL59" s="21" t="s">
        <v>975</v>
      </c>
      <c r="AM59" s="21" t="s">
        <v>1051</v>
      </c>
      <c r="AR59" s="21" t="s">
        <v>62</v>
      </c>
    </row>
    <row r="60">
      <c r="A60" s="21" t="s">
        <v>610</v>
      </c>
      <c r="B60" s="21" t="s">
        <v>611</v>
      </c>
      <c r="C60" s="32" t="s">
        <v>612</v>
      </c>
      <c r="D60" s="21" t="s">
        <v>962</v>
      </c>
      <c r="E60" s="21" t="s">
        <v>613</v>
      </c>
      <c r="G60" s="21" t="s">
        <v>1048</v>
      </c>
      <c r="H60" s="21">
        <v>2.0</v>
      </c>
      <c r="I60" s="21" t="s">
        <v>979</v>
      </c>
      <c r="J60" s="21">
        <v>109.0</v>
      </c>
      <c r="K60" s="21" t="s">
        <v>334</v>
      </c>
      <c r="L60" s="21" t="s">
        <v>983</v>
      </c>
      <c r="N60" s="21" t="s">
        <v>80</v>
      </c>
      <c r="V60" s="21">
        <v>2015.0</v>
      </c>
      <c r="Z60" s="21" t="s">
        <v>615</v>
      </c>
      <c r="AA60" s="21" t="s">
        <v>1049</v>
      </c>
      <c r="AB60" s="21" t="s">
        <v>616</v>
      </c>
      <c r="AC60" s="21" t="s">
        <v>1050</v>
      </c>
      <c r="AD60" s="21">
        <v>-6.290774</v>
      </c>
      <c r="AE60" s="21">
        <v>107.120446</v>
      </c>
      <c r="AF60" s="21" t="s">
        <v>971</v>
      </c>
      <c r="AG60" s="21" t="s">
        <v>614</v>
      </c>
      <c r="AJ60" s="21" t="s">
        <v>448</v>
      </c>
      <c r="AK60" s="21" t="s">
        <v>974</v>
      </c>
      <c r="AL60" s="21" t="s">
        <v>975</v>
      </c>
      <c r="AM60" s="21" t="s">
        <v>1051</v>
      </c>
      <c r="AR60" s="21" t="s">
        <v>62</v>
      </c>
    </row>
    <row r="61">
      <c r="A61" s="21" t="s">
        <v>113</v>
      </c>
      <c r="B61" s="21" t="s">
        <v>114</v>
      </c>
      <c r="C61" s="32" t="s">
        <v>115</v>
      </c>
      <c r="D61" s="21" t="s">
        <v>962</v>
      </c>
      <c r="E61" s="21" t="s">
        <v>116</v>
      </c>
      <c r="H61" s="21">
        <v>1.0</v>
      </c>
      <c r="I61" s="21" t="s">
        <v>979</v>
      </c>
      <c r="J61" s="21">
        <v>800.0</v>
      </c>
      <c r="K61" s="21" t="s">
        <v>45</v>
      </c>
      <c r="L61" s="21" t="s">
        <v>965</v>
      </c>
      <c r="N61" s="21" t="s">
        <v>80</v>
      </c>
      <c r="V61" s="21">
        <v>2027.0</v>
      </c>
      <c r="Z61" s="21" t="s">
        <v>97</v>
      </c>
      <c r="AA61" s="21" t="s">
        <v>1038</v>
      </c>
      <c r="AB61" s="21" t="s">
        <v>51</v>
      </c>
      <c r="AC61" s="21" t="s">
        <v>977</v>
      </c>
      <c r="AD61" s="21">
        <v>-7.109509</v>
      </c>
      <c r="AE61" s="21">
        <v>112.621681</v>
      </c>
      <c r="AF61" s="21" t="s">
        <v>982</v>
      </c>
      <c r="AG61" s="21" t="s">
        <v>80</v>
      </c>
      <c r="AJ61" s="21" t="s">
        <v>103</v>
      </c>
      <c r="AK61" s="21" t="s">
        <v>974</v>
      </c>
      <c r="AL61" s="21" t="s">
        <v>975</v>
      </c>
      <c r="AR61" s="21" t="s">
        <v>62</v>
      </c>
    </row>
    <row r="62">
      <c r="A62" s="21" t="s">
        <v>58</v>
      </c>
      <c r="B62" s="21" t="s">
        <v>505</v>
      </c>
      <c r="C62" s="32" t="s">
        <v>60</v>
      </c>
      <c r="D62" s="21" t="s">
        <v>962</v>
      </c>
      <c r="E62" s="21" t="s">
        <v>61</v>
      </c>
      <c r="H62" s="21">
        <v>1.0</v>
      </c>
      <c r="I62" s="21" t="s">
        <v>1014</v>
      </c>
      <c r="J62" s="21">
        <v>57.0</v>
      </c>
      <c r="K62" s="21" t="s">
        <v>334</v>
      </c>
      <c r="L62" s="21" t="s">
        <v>63</v>
      </c>
      <c r="N62" s="21" t="s">
        <v>80</v>
      </c>
      <c r="P62" s="21" t="s">
        <v>80</v>
      </c>
      <c r="V62" s="21">
        <v>2017.0</v>
      </c>
      <c r="Z62" s="21" t="s">
        <v>50</v>
      </c>
      <c r="AA62" s="21" t="s">
        <v>976</v>
      </c>
      <c r="AB62" s="21" t="s">
        <v>51</v>
      </c>
      <c r="AC62" s="21" t="s">
        <v>977</v>
      </c>
      <c r="AD62" s="21">
        <v>-2.616361</v>
      </c>
      <c r="AE62" s="21">
        <v>140.789297</v>
      </c>
      <c r="AF62" s="21" t="s">
        <v>971</v>
      </c>
      <c r="AG62" s="21" t="s">
        <v>46</v>
      </c>
      <c r="AJ62" s="21" t="s">
        <v>47</v>
      </c>
      <c r="AK62" s="21" t="s">
        <v>974</v>
      </c>
      <c r="AL62" s="21" t="s">
        <v>975</v>
      </c>
      <c r="AR62" s="21" t="s">
        <v>49</v>
      </c>
    </row>
    <row r="63">
      <c r="A63" s="21" t="s">
        <v>839</v>
      </c>
      <c r="B63" s="21" t="s">
        <v>840</v>
      </c>
      <c r="C63" s="32" t="s">
        <v>841</v>
      </c>
      <c r="D63" s="21" t="s">
        <v>962</v>
      </c>
      <c r="E63" s="21" t="s">
        <v>842</v>
      </c>
      <c r="H63" s="21">
        <v>1.0</v>
      </c>
      <c r="I63" s="21" t="s">
        <v>979</v>
      </c>
      <c r="J63" s="21">
        <v>300.0</v>
      </c>
      <c r="K63" s="21" t="s">
        <v>836</v>
      </c>
      <c r="L63" s="21" t="s">
        <v>965</v>
      </c>
      <c r="M63" s="21" t="s">
        <v>80</v>
      </c>
      <c r="N63" s="21" t="s">
        <v>80</v>
      </c>
      <c r="O63" s="21" t="s">
        <v>80</v>
      </c>
      <c r="P63" s="21" t="s">
        <v>80</v>
      </c>
      <c r="Q63" s="21" t="s">
        <v>1052</v>
      </c>
      <c r="R63" s="21" t="s">
        <v>1053</v>
      </c>
      <c r="S63" s="21" t="s">
        <v>1054</v>
      </c>
      <c r="V63" s="21">
        <v>2024.0</v>
      </c>
      <c r="Z63" s="21" t="s">
        <v>50</v>
      </c>
      <c r="AA63" s="21" t="s">
        <v>976</v>
      </c>
      <c r="AB63" s="21" t="s">
        <v>51</v>
      </c>
      <c r="AC63" s="21" t="s">
        <v>977</v>
      </c>
      <c r="AD63" s="21">
        <v>0.168359</v>
      </c>
      <c r="AE63" s="21">
        <v>109.30447</v>
      </c>
      <c r="AF63" s="21" t="s">
        <v>982</v>
      </c>
      <c r="AG63" s="21" t="s">
        <v>854</v>
      </c>
      <c r="AJ63" s="21" t="s">
        <v>420</v>
      </c>
      <c r="AK63" s="21" t="s">
        <v>974</v>
      </c>
      <c r="AL63" s="21" t="s">
        <v>975</v>
      </c>
      <c r="AR63" s="21" t="s">
        <v>62</v>
      </c>
    </row>
    <row r="64">
      <c r="A64" s="21" t="s">
        <v>76</v>
      </c>
      <c r="B64" s="21" t="s">
        <v>77</v>
      </c>
      <c r="C64" s="32" t="s">
        <v>78</v>
      </c>
      <c r="D64" s="21" t="s">
        <v>962</v>
      </c>
      <c r="E64" s="21" t="s">
        <v>79</v>
      </c>
      <c r="H64" s="21">
        <v>1.0</v>
      </c>
      <c r="I64" s="21" t="s">
        <v>1014</v>
      </c>
      <c r="J64" s="21">
        <v>100.0</v>
      </c>
      <c r="K64" s="21" t="s">
        <v>45</v>
      </c>
      <c r="L64" s="21" t="s">
        <v>965</v>
      </c>
      <c r="N64" s="21" t="s">
        <v>80</v>
      </c>
      <c r="O64" s="21" t="s">
        <v>80</v>
      </c>
      <c r="P64" s="21" t="s">
        <v>80</v>
      </c>
      <c r="V64" s="21">
        <v>2030.0</v>
      </c>
      <c r="Z64" s="21" t="s">
        <v>50</v>
      </c>
      <c r="AA64" s="21" t="s">
        <v>976</v>
      </c>
      <c r="AB64" s="21" t="s">
        <v>51</v>
      </c>
      <c r="AC64" s="21" t="s">
        <v>977</v>
      </c>
      <c r="AD64" s="21">
        <v>-2.737592</v>
      </c>
      <c r="AE64" s="21">
        <v>114.738025</v>
      </c>
      <c r="AF64" s="21" t="s">
        <v>982</v>
      </c>
      <c r="AG64" s="21" t="s">
        <v>80</v>
      </c>
      <c r="AJ64" s="21" t="s">
        <v>81</v>
      </c>
      <c r="AK64" s="21" t="s">
        <v>974</v>
      </c>
      <c r="AL64" s="21" t="s">
        <v>975</v>
      </c>
      <c r="AR64" s="21" t="s">
        <v>49</v>
      </c>
    </row>
    <row r="65">
      <c r="A65" s="21" t="s">
        <v>461</v>
      </c>
      <c r="B65" s="21" t="s">
        <v>462</v>
      </c>
      <c r="C65" s="32" t="s">
        <v>463</v>
      </c>
      <c r="D65" s="21" t="s">
        <v>962</v>
      </c>
      <c r="E65" s="21" t="s">
        <v>464</v>
      </c>
      <c r="G65" s="21" t="s">
        <v>1055</v>
      </c>
      <c r="H65" s="56">
        <v>45658.0</v>
      </c>
      <c r="I65" s="21" t="s">
        <v>1014</v>
      </c>
      <c r="J65" s="21">
        <v>50.0</v>
      </c>
      <c r="K65" s="21" t="s">
        <v>334</v>
      </c>
      <c r="L65" s="21" t="s">
        <v>983</v>
      </c>
      <c r="N65" s="21" t="s">
        <v>80</v>
      </c>
      <c r="V65" s="21">
        <v>2013.0</v>
      </c>
      <c r="Z65" s="21" t="s">
        <v>50</v>
      </c>
      <c r="AA65" s="21" t="s">
        <v>976</v>
      </c>
      <c r="AB65" s="21" t="s">
        <v>51</v>
      </c>
      <c r="AC65" s="21" t="s">
        <v>977</v>
      </c>
      <c r="AD65" s="21">
        <v>-0.384362</v>
      </c>
      <c r="AE65" s="21">
        <v>117.051473</v>
      </c>
      <c r="AF65" s="21" t="s">
        <v>971</v>
      </c>
      <c r="AG65" s="21" t="s">
        <v>465</v>
      </c>
      <c r="AJ65" s="21" t="s">
        <v>308</v>
      </c>
      <c r="AK65" s="21" t="s">
        <v>974</v>
      </c>
      <c r="AL65" s="21" t="s">
        <v>975</v>
      </c>
      <c r="AR65" s="21" t="s">
        <v>49</v>
      </c>
    </row>
    <row r="66">
      <c r="A66" s="21" t="s">
        <v>461</v>
      </c>
      <c r="B66" s="21" t="s">
        <v>466</v>
      </c>
      <c r="C66" s="32" t="s">
        <v>463</v>
      </c>
      <c r="D66" s="21" t="s">
        <v>962</v>
      </c>
      <c r="E66" s="21" t="s">
        <v>464</v>
      </c>
      <c r="G66" s="21" t="s">
        <v>1055</v>
      </c>
      <c r="H66" s="56">
        <v>45689.0</v>
      </c>
      <c r="I66" s="21" t="s">
        <v>1014</v>
      </c>
      <c r="J66" s="21">
        <v>50.0</v>
      </c>
      <c r="K66" s="21" t="s">
        <v>334</v>
      </c>
      <c r="L66" s="21" t="s">
        <v>983</v>
      </c>
      <c r="N66" s="21" t="s">
        <v>80</v>
      </c>
      <c r="V66" s="21">
        <v>2013.0</v>
      </c>
      <c r="Z66" s="21" t="s">
        <v>50</v>
      </c>
      <c r="AA66" s="21" t="s">
        <v>976</v>
      </c>
      <c r="AB66" s="21" t="s">
        <v>51</v>
      </c>
      <c r="AC66" s="21" t="s">
        <v>977</v>
      </c>
      <c r="AD66" s="21">
        <v>-0.384362</v>
      </c>
      <c r="AE66" s="21">
        <v>117.051473</v>
      </c>
      <c r="AF66" s="21" t="s">
        <v>971</v>
      </c>
      <c r="AG66" s="21" t="s">
        <v>465</v>
      </c>
      <c r="AJ66" s="21" t="s">
        <v>308</v>
      </c>
      <c r="AK66" s="21" t="s">
        <v>974</v>
      </c>
      <c r="AL66" s="21" t="s">
        <v>975</v>
      </c>
      <c r="AR66" s="21" t="s">
        <v>49</v>
      </c>
    </row>
    <row r="67">
      <c r="A67" s="21" t="s">
        <v>461</v>
      </c>
      <c r="B67" s="21" t="s">
        <v>838</v>
      </c>
      <c r="C67" s="32" t="s">
        <v>463</v>
      </c>
      <c r="D67" s="21" t="s">
        <v>962</v>
      </c>
      <c r="E67" s="21" t="s">
        <v>464</v>
      </c>
      <c r="G67" s="21" t="s">
        <v>1055</v>
      </c>
      <c r="H67" s="21" t="s">
        <v>1056</v>
      </c>
      <c r="I67" s="21" t="s">
        <v>979</v>
      </c>
      <c r="J67" s="21">
        <v>80.0</v>
      </c>
      <c r="K67" s="21" t="s">
        <v>836</v>
      </c>
      <c r="L67" s="21" t="s">
        <v>965</v>
      </c>
      <c r="N67" s="21" t="s">
        <v>80</v>
      </c>
      <c r="V67" s="21">
        <v>2026.0</v>
      </c>
      <c r="Z67" s="21" t="s">
        <v>50</v>
      </c>
      <c r="AA67" s="21" t="s">
        <v>976</v>
      </c>
      <c r="AB67" s="21" t="s">
        <v>51</v>
      </c>
      <c r="AC67" s="21" t="s">
        <v>977</v>
      </c>
      <c r="AD67" s="21">
        <v>-0.384362</v>
      </c>
      <c r="AE67" s="21">
        <v>117.051473</v>
      </c>
      <c r="AF67" s="21" t="s">
        <v>971</v>
      </c>
      <c r="AG67" s="21" t="s">
        <v>465</v>
      </c>
      <c r="AJ67" s="21" t="s">
        <v>308</v>
      </c>
      <c r="AK67" s="21" t="s">
        <v>974</v>
      </c>
      <c r="AL67" s="21" t="s">
        <v>975</v>
      </c>
      <c r="AR67" s="21" t="s">
        <v>62</v>
      </c>
    </row>
    <row r="68">
      <c r="A68" s="21" t="s">
        <v>461</v>
      </c>
      <c r="B68" s="21" t="s">
        <v>835</v>
      </c>
      <c r="C68" s="32" t="s">
        <v>463</v>
      </c>
      <c r="D68" s="21" t="s">
        <v>962</v>
      </c>
      <c r="E68" s="21" t="s">
        <v>464</v>
      </c>
      <c r="G68" s="21" t="s">
        <v>1055</v>
      </c>
      <c r="H68" s="56">
        <v>45659.0</v>
      </c>
      <c r="I68" s="21" t="s">
        <v>1014</v>
      </c>
      <c r="J68" s="21">
        <v>50.0</v>
      </c>
      <c r="K68" s="21" t="s">
        <v>836</v>
      </c>
      <c r="L68" s="21" t="s">
        <v>983</v>
      </c>
      <c r="N68" s="21" t="s">
        <v>80</v>
      </c>
      <c r="V68" s="21">
        <v>2023.0</v>
      </c>
      <c r="Z68" s="21" t="s">
        <v>50</v>
      </c>
      <c r="AA68" s="21" t="s">
        <v>976</v>
      </c>
      <c r="AB68" s="21" t="s">
        <v>51</v>
      </c>
      <c r="AC68" s="21" t="s">
        <v>977</v>
      </c>
      <c r="AD68" s="21">
        <v>-0.384362</v>
      </c>
      <c r="AE68" s="21">
        <v>117.051473</v>
      </c>
      <c r="AF68" s="21" t="s">
        <v>971</v>
      </c>
      <c r="AG68" s="21" t="s">
        <v>465</v>
      </c>
      <c r="AJ68" s="21" t="s">
        <v>308</v>
      </c>
      <c r="AK68" s="21" t="s">
        <v>974</v>
      </c>
      <c r="AL68" s="21" t="s">
        <v>975</v>
      </c>
      <c r="AR68" s="21" t="s">
        <v>49</v>
      </c>
    </row>
    <row r="69">
      <c r="A69" s="21" t="s">
        <v>461</v>
      </c>
      <c r="B69" s="21" t="s">
        <v>837</v>
      </c>
      <c r="C69" s="32" t="s">
        <v>463</v>
      </c>
      <c r="D69" s="21" t="s">
        <v>962</v>
      </c>
      <c r="E69" s="21" t="s">
        <v>464</v>
      </c>
      <c r="G69" s="21" t="s">
        <v>1055</v>
      </c>
      <c r="H69" s="56">
        <v>45690.0</v>
      </c>
      <c r="I69" s="21" t="s">
        <v>1014</v>
      </c>
      <c r="J69" s="21">
        <v>50.0</v>
      </c>
      <c r="K69" s="21" t="s">
        <v>836</v>
      </c>
      <c r="L69" s="21" t="s">
        <v>983</v>
      </c>
      <c r="N69" s="21" t="s">
        <v>80</v>
      </c>
      <c r="V69" s="21">
        <v>2023.0</v>
      </c>
      <c r="Z69" s="21" t="s">
        <v>50</v>
      </c>
      <c r="AA69" s="21" t="s">
        <v>976</v>
      </c>
      <c r="AB69" s="21" t="s">
        <v>51</v>
      </c>
      <c r="AC69" s="21" t="s">
        <v>977</v>
      </c>
      <c r="AD69" s="21">
        <v>-0.384362</v>
      </c>
      <c r="AE69" s="21">
        <v>117.051473</v>
      </c>
      <c r="AF69" s="21" t="s">
        <v>971</v>
      </c>
      <c r="AG69" s="21" t="s">
        <v>465</v>
      </c>
      <c r="AJ69" s="21" t="s">
        <v>308</v>
      </c>
      <c r="AK69" s="21" t="s">
        <v>974</v>
      </c>
      <c r="AL69" s="21" t="s">
        <v>975</v>
      </c>
      <c r="AR69" s="21" t="s">
        <v>49</v>
      </c>
    </row>
    <row r="70">
      <c r="A70" s="21" t="s">
        <v>793</v>
      </c>
      <c r="B70" s="21" t="s">
        <v>794</v>
      </c>
      <c r="C70" s="32" t="s">
        <v>795</v>
      </c>
      <c r="D70" s="21" t="s">
        <v>962</v>
      </c>
      <c r="E70" s="21" t="s">
        <v>796</v>
      </c>
      <c r="H70" s="21">
        <v>1.0</v>
      </c>
      <c r="I70" s="21" t="s">
        <v>979</v>
      </c>
      <c r="J70" s="21">
        <v>470.0</v>
      </c>
      <c r="K70" s="21" t="s">
        <v>334</v>
      </c>
      <c r="L70" s="21" t="s">
        <v>52</v>
      </c>
      <c r="N70" s="21" t="s">
        <v>80</v>
      </c>
      <c r="V70" s="21">
        <v>2016.0</v>
      </c>
      <c r="Z70" s="21" t="s">
        <v>667</v>
      </c>
      <c r="AA70" s="21" t="s">
        <v>1057</v>
      </c>
      <c r="AB70" s="21" t="s">
        <v>668</v>
      </c>
      <c r="AC70" s="21" t="s">
        <v>1058</v>
      </c>
      <c r="AD70" s="21">
        <v>3.775582</v>
      </c>
      <c r="AE70" s="21">
        <v>98.669767</v>
      </c>
      <c r="AF70" s="21" t="s">
        <v>971</v>
      </c>
      <c r="AG70" s="21" t="s">
        <v>533</v>
      </c>
      <c r="AJ70" s="21" t="s">
        <v>96</v>
      </c>
      <c r="AK70" s="21" t="s">
        <v>974</v>
      </c>
      <c r="AL70" s="21" t="s">
        <v>975</v>
      </c>
      <c r="AR70" s="21" t="s">
        <v>62</v>
      </c>
    </row>
    <row r="71">
      <c r="A71" s="21" t="s">
        <v>661</v>
      </c>
      <c r="B71" s="21" t="s">
        <v>662</v>
      </c>
      <c r="C71" s="32" t="s">
        <v>663</v>
      </c>
      <c r="D71" s="21" t="s">
        <v>962</v>
      </c>
      <c r="E71" s="21" t="s">
        <v>664</v>
      </c>
      <c r="H71" s="21">
        <v>1.0</v>
      </c>
      <c r="I71" s="21" t="s">
        <v>964</v>
      </c>
      <c r="J71" s="21">
        <v>125.0</v>
      </c>
      <c r="K71" s="21" t="s">
        <v>334</v>
      </c>
      <c r="L71" s="21" t="s">
        <v>52</v>
      </c>
      <c r="N71" s="21" t="s">
        <v>80</v>
      </c>
      <c r="V71" s="21">
        <v>2016.0</v>
      </c>
      <c r="Z71" s="21" t="s">
        <v>667</v>
      </c>
      <c r="AA71" s="21" t="s">
        <v>1057</v>
      </c>
      <c r="AB71" s="21" t="s">
        <v>668</v>
      </c>
      <c r="AC71" s="21" t="s">
        <v>1058</v>
      </c>
      <c r="AD71" s="21">
        <v>1.187715</v>
      </c>
      <c r="AE71" s="21">
        <v>124.478541</v>
      </c>
      <c r="AF71" s="21" t="s">
        <v>971</v>
      </c>
      <c r="AG71" s="21" t="s">
        <v>665</v>
      </c>
      <c r="AJ71" s="21" t="s">
        <v>666</v>
      </c>
      <c r="AK71" s="21" t="s">
        <v>974</v>
      </c>
      <c r="AL71" s="21" t="s">
        <v>975</v>
      </c>
      <c r="AR71" s="21" t="s">
        <v>328</v>
      </c>
    </row>
    <row r="72">
      <c r="A72" s="21" t="s">
        <v>910</v>
      </c>
      <c r="B72" s="21" t="s">
        <v>911</v>
      </c>
      <c r="C72" s="32" t="s">
        <v>912</v>
      </c>
      <c r="D72" s="21" t="s">
        <v>962</v>
      </c>
      <c r="E72" s="21" t="s">
        <v>913</v>
      </c>
      <c r="H72" s="21">
        <v>1.0</v>
      </c>
      <c r="I72" s="21" t="s">
        <v>979</v>
      </c>
      <c r="J72" s="21">
        <v>145.0</v>
      </c>
      <c r="K72" s="21" t="s">
        <v>914</v>
      </c>
      <c r="L72" s="21" t="s">
        <v>965</v>
      </c>
      <c r="N72" s="21" t="s">
        <v>80</v>
      </c>
      <c r="V72" s="21">
        <v>2010.0</v>
      </c>
      <c r="Z72" s="21" t="s">
        <v>1059</v>
      </c>
      <c r="AA72" s="21" t="s">
        <v>1060</v>
      </c>
      <c r="AB72" s="21" t="s">
        <v>1061</v>
      </c>
      <c r="AC72" s="21" t="s">
        <v>1062</v>
      </c>
      <c r="AD72" s="21">
        <v>-3.030261</v>
      </c>
      <c r="AE72" s="21">
        <v>104.741981</v>
      </c>
      <c r="AF72" s="21" t="s">
        <v>982</v>
      </c>
      <c r="AG72" s="21" t="s">
        <v>915</v>
      </c>
      <c r="AJ72" s="21" t="s">
        <v>894</v>
      </c>
      <c r="AK72" s="21" t="s">
        <v>974</v>
      </c>
      <c r="AL72" s="21" t="s">
        <v>975</v>
      </c>
      <c r="AM72" s="21" t="s">
        <v>1063</v>
      </c>
      <c r="AR72" s="21" t="s">
        <v>62</v>
      </c>
    </row>
    <row r="73">
      <c r="A73" s="21" t="s">
        <v>553</v>
      </c>
      <c r="B73" s="21" t="s">
        <v>554</v>
      </c>
      <c r="C73" s="32" t="s">
        <v>555</v>
      </c>
      <c r="D73" s="21" t="s">
        <v>962</v>
      </c>
      <c r="E73" s="21" t="s">
        <v>556</v>
      </c>
      <c r="H73" s="21">
        <v>1.0</v>
      </c>
      <c r="I73" s="21" t="s">
        <v>979</v>
      </c>
      <c r="J73" s="21">
        <v>80.0</v>
      </c>
      <c r="K73" s="21" t="s">
        <v>334</v>
      </c>
      <c r="L73" s="21" t="s">
        <v>965</v>
      </c>
      <c r="N73" s="21" t="s">
        <v>80</v>
      </c>
      <c r="V73" s="21">
        <v>2015.0</v>
      </c>
      <c r="Z73" s="21" t="s">
        <v>50</v>
      </c>
      <c r="AA73" s="21" t="s">
        <v>976</v>
      </c>
      <c r="AB73" s="21" t="s">
        <v>51</v>
      </c>
      <c r="AC73" s="21" t="s">
        <v>977</v>
      </c>
      <c r="AD73" s="21">
        <v>-3.031835</v>
      </c>
      <c r="AE73" s="21">
        <v>104.745957</v>
      </c>
      <c r="AF73" s="21" t="s">
        <v>971</v>
      </c>
      <c r="AG73" s="21" t="s">
        <v>557</v>
      </c>
      <c r="AJ73" s="21" t="s">
        <v>358</v>
      </c>
      <c r="AK73" s="21" t="s">
        <v>974</v>
      </c>
      <c r="AL73" s="21" t="s">
        <v>975</v>
      </c>
      <c r="AM73" s="21" t="s">
        <v>1064</v>
      </c>
      <c r="AR73" s="21" t="s">
        <v>62</v>
      </c>
    </row>
    <row r="74">
      <c r="A74" s="21" t="s">
        <v>82</v>
      </c>
      <c r="B74" s="21" t="s">
        <v>83</v>
      </c>
      <c r="C74" s="32" t="s">
        <v>84</v>
      </c>
      <c r="D74" s="21" t="s">
        <v>962</v>
      </c>
      <c r="E74" s="21" t="s">
        <v>85</v>
      </c>
      <c r="H74" s="21">
        <v>2.0</v>
      </c>
      <c r="I74" s="21" t="s">
        <v>979</v>
      </c>
      <c r="J74" s="21">
        <v>120.0</v>
      </c>
      <c r="K74" s="21" t="s">
        <v>45</v>
      </c>
      <c r="L74" s="21" t="s">
        <v>965</v>
      </c>
      <c r="N74" s="21" t="s">
        <v>80</v>
      </c>
      <c r="O74" s="21" t="s">
        <v>80</v>
      </c>
      <c r="P74" s="21" t="s">
        <v>80</v>
      </c>
      <c r="V74" s="21" t="s">
        <v>80</v>
      </c>
      <c r="Z74" s="21" t="s">
        <v>89</v>
      </c>
      <c r="AA74" s="21" t="s">
        <v>1023</v>
      </c>
      <c r="AB74" s="21" t="s">
        <v>90</v>
      </c>
      <c r="AC74" s="21" t="s">
        <v>1024</v>
      </c>
      <c r="AD74" s="21">
        <v>-5.9924</v>
      </c>
      <c r="AE74" s="21">
        <v>105.9849</v>
      </c>
      <c r="AF74" s="21" t="s">
        <v>971</v>
      </c>
      <c r="AG74" s="21" t="s">
        <v>86</v>
      </c>
      <c r="AJ74" s="21" t="s">
        <v>87</v>
      </c>
      <c r="AK74" s="21" t="s">
        <v>974</v>
      </c>
      <c r="AL74" s="21" t="s">
        <v>975</v>
      </c>
      <c r="AM74" s="21" t="s">
        <v>1065</v>
      </c>
      <c r="AR74" s="21" t="s">
        <v>62</v>
      </c>
    </row>
    <row r="75">
      <c r="A75" s="21" t="s">
        <v>82</v>
      </c>
      <c r="B75" s="21" t="s">
        <v>649</v>
      </c>
      <c r="C75" s="32" t="s">
        <v>84</v>
      </c>
      <c r="D75" s="21" t="s">
        <v>962</v>
      </c>
      <c r="E75" s="21" t="s">
        <v>85</v>
      </c>
      <c r="H75" s="21">
        <v>1.0</v>
      </c>
      <c r="I75" s="21" t="s">
        <v>979</v>
      </c>
      <c r="J75" s="21">
        <v>120.0</v>
      </c>
      <c r="K75" s="21" t="s">
        <v>334</v>
      </c>
      <c r="L75" s="21" t="s">
        <v>965</v>
      </c>
      <c r="N75" s="21" t="s">
        <v>80</v>
      </c>
      <c r="V75" s="21">
        <v>2015.0</v>
      </c>
      <c r="Z75" s="21" t="s">
        <v>89</v>
      </c>
      <c r="AA75" s="21" t="s">
        <v>1023</v>
      </c>
      <c r="AB75" s="21" t="s">
        <v>90</v>
      </c>
      <c r="AC75" s="21" t="s">
        <v>1024</v>
      </c>
      <c r="AD75" s="21">
        <v>-5.9924</v>
      </c>
      <c r="AE75" s="21">
        <v>105.9849</v>
      </c>
      <c r="AF75" s="21" t="s">
        <v>971</v>
      </c>
      <c r="AG75" s="21" t="s">
        <v>86</v>
      </c>
      <c r="AJ75" s="21" t="s">
        <v>87</v>
      </c>
      <c r="AK75" s="21" t="s">
        <v>974</v>
      </c>
      <c r="AL75" s="21" t="s">
        <v>975</v>
      </c>
      <c r="AM75" s="21" t="s">
        <v>1065</v>
      </c>
      <c r="AR75" s="21" t="s">
        <v>62</v>
      </c>
    </row>
    <row r="76">
      <c r="A76" s="21" t="s">
        <v>890</v>
      </c>
      <c r="B76" s="21" t="s">
        <v>891</v>
      </c>
      <c r="C76" s="32" t="s">
        <v>892</v>
      </c>
      <c r="D76" s="21" t="s">
        <v>962</v>
      </c>
      <c r="E76" s="21" t="s">
        <v>893</v>
      </c>
      <c r="H76" s="21">
        <v>1.0</v>
      </c>
      <c r="I76" s="21" t="s">
        <v>964</v>
      </c>
      <c r="J76" s="21">
        <v>200.0</v>
      </c>
      <c r="K76" s="21" t="s">
        <v>889</v>
      </c>
      <c r="L76" s="21" t="s">
        <v>965</v>
      </c>
      <c r="N76" s="21" t="s">
        <v>80</v>
      </c>
      <c r="Z76" s="21" t="s">
        <v>50</v>
      </c>
      <c r="AA76" s="21" t="s">
        <v>976</v>
      </c>
      <c r="AB76" s="21" t="s">
        <v>51</v>
      </c>
      <c r="AC76" s="21" t="s">
        <v>977</v>
      </c>
      <c r="AD76" s="21">
        <v>-5.568576</v>
      </c>
      <c r="AE76" s="21">
        <v>105.378021</v>
      </c>
      <c r="AF76" s="21" t="s">
        <v>982</v>
      </c>
      <c r="AG76" s="21" t="s">
        <v>80</v>
      </c>
      <c r="AI76" s="21" t="s">
        <v>388</v>
      </c>
      <c r="AJ76" s="21" t="s">
        <v>894</v>
      </c>
      <c r="AK76" s="21" t="s">
        <v>974</v>
      </c>
      <c r="AL76" s="21" t="s">
        <v>975</v>
      </c>
      <c r="AR76" s="21" t="s">
        <v>328</v>
      </c>
    </row>
    <row r="77">
      <c r="A77" s="21" t="s">
        <v>697</v>
      </c>
      <c r="B77" s="21" t="s">
        <v>698</v>
      </c>
      <c r="C77" s="32" t="s">
        <v>699</v>
      </c>
      <c r="D77" s="21" t="s">
        <v>962</v>
      </c>
      <c r="E77" s="21" t="s">
        <v>700</v>
      </c>
      <c r="H77" s="21">
        <v>1.0</v>
      </c>
      <c r="I77" s="21" t="s">
        <v>1014</v>
      </c>
      <c r="J77" s="21">
        <v>135.0</v>
      </c>
      <c r="K77" s="21" t="s">
        <v>334</v>
      </c>
      <c r="L77" s="21" t="s">
        <v>52</v>
      </c>
      <c r="N77" s="21" t="s">
        <v>80</v>
      </c>
      <c r="V77" s="21">
        <v>2020.0</v>
      </c>
      <c r="Z77" s="21" t="s">
        <v>50</v>
      </c>
      <c r="AA77" s="21" t="s">
        <v>976</v>
      </c>
      <c r="AB77" s="21" t="s">
        <v>51</v>
      </c>
      <c r="AC77" s="21" t="s">
        <v>977</v>
      </c>
      <c r="AD77" s="21">
        <v>-8.58958</v>
      </c>
      <c r="AE77" s="21">
        <v>116.074409</v>
      </c>
      <c r="AF77" s="21" t="s">
        <v>971</v>
      </c>
      <c r="AG77" s="21" t="s">
        <v>701</v>
      </c>
      <c r="AJ77" s="21" t="s">
        <v>326</v>
      </c>
      <c r="AK77" s="21" t="s">
        <v>974</v>
      </c>
      <c r="AL77" s="21" t="s">
        <v>975</v>
      </c>
      <c r="AR77" s="21" t="s">
        <v>49</v>
      </c>
    </row>
    <row r="78">
      <c r="A78" s="21" t="s">
        <v>506</v>
      </c>
      <c r="B78" s="21" t="s">
        <v>507</v>
      </c>
      <c r="C78" s="32" t="s">
        <v>508</v>
      </c>
      <c r="D78" s="21" t="s">
        <v>962</v>
      </c>
      <c r="E78" s="21" t="s">
        <v>509</v>
      </c>
      <c r="H78" s="21">
        <v>1.0</v>
      </c>
      <c r="I78" s="21" t="s">
        <v>1066</v>
      </c>
      <c r="J78" s="21">
        <v>58.5</v>
      </c>
      <c r="K78" s="21" t="s">
        <v>334</v>
      </c>
      <c r="L78" s="21" t="s">
        <v>63</v>
      </c>
      <c r="N78" s="21" t="s">
        <v>80</v>
      </c>
      <c r="V78" s="21">
        <v>1981.0</v>
      </c>
      <c r="Z78" s="21" t="s">
        <v>50</v>
      </c>
      <c r="AA78" s="21" t="s">
        <v>976</v>
      </c>
      <c r="AB78" s="21" t="s">
        <v>51</v>
      </c>
      <c r="AC78" s="21" t="s">
        <v>977</v>
      </c>
      <c r="AD78" s="21">
        <v>5.540313</v>
      </c>
      <c r="AE78" s="21">
        <v>95.341225</v>
      </c>
      <c r="AF78" s="21" t="s">
        <v>971</v>
      </c>
      <c r="AG78" s="21" t="s">
        <v>402</v>
      </c>
      <c r="AJ78" s="21" t="s">
        <v>75</v>
      </c>
      <c r="AK78" s="21" t="s">
        <v>974</v>
      </c>
      <c r="AL78" s="21" t="s">
        <v>975</v>
      </c>
      <c r="AR78" s="21" t="s">
        <v>487</v>
      </c>
    </row>
    <row r="79">
      <c r="A79" s="21" t="s">
        <v>916</v>
      </c>
      <c r="B79" s="21" t="s">
        <v>917</v>
      </c>
      <c r="C79" s="32" t="s">
        <v>918</v>
      </c>
      <c r="D79" s="21" t="s">
        <v>962</v>
      </c>
      <c r="E79" s="21" t="s">
        <v>919</v>
      </c>
      <c r="H79" s="21">
        <v>1.0</v>
      </c>
      <c r="I79" s="21" t="s">
        <v>979</v>
      </c>
      <c r="J79" s="21">
        <v>150.0</v>
      </c>
      <c r="K79" s="21" t="s">
        <v>920</v>
      </c>
      <c r="L79" s="21" t="s">
        <v>965</v>
      </c>
      <c r="N79" s="21" t="s">
        <v>80</v>
      </c>
      <c r="V79" s="21">
        <v>2021.0</v>
      </c>
      <c r="Z79" s="21" t="s">
        <v>50</v>
      </c>
      <c r="AA79" s="21" t="s">
        <v>976</v>
      </c>
      <c r="AB79" s="21" t="s">
        <v>51</v>
      </c>
      <c r="AC79" s="21" t="s">
        <v>977</v>
      </c>
      <c r="AD79" s="21">
        <v>-1.325641</v>
      </c>
      <c r="AE79" s="21">
        <v>122.498276</v>
      </c>
      <c r="AF79" s="21" t="s">
        <v>982</v>
      </c>
      <c r="AG79" s="21" t="s">
        <v>921</v>
      </c>
      <c r="AI79" s="21" t="s">
        <v>538</v>
      </c>
      <c r="AJ79" s="21" t="s">
        <v>860</v>
      </c>
      <c r="AK79" s="21" t="s">
        <v>974</v>
      </c>
      <c r="AL79" s="21" t="s">
        <v>975</v>
      </c>
      <c r="AR79" s="21" t="s">
        <v>62</v>
      </c>
    </row>
    <row r="80">
      <c r="A80" s="21" t="s">
        <v>98</v>
      </c>
      <c r="B80" s="21" t="s">
        <v>99</v>
      </c>
      <c r="C80" s="32" t="s">
        <v>100</v>
      </c>
      <c r="D80" s="21" t="s">
        <v>962</v>
      </c>
      <c r="E80" s="21" t="s">
        <v>101</v>
      </c>
      <c r="H80" s="21">
        <v>1.0</v>
      </c>
      <c r="I80" s="21" t="s">
        <v>979</v>
      </c>
      <c r="J80" s="21">
        <v>300.0</v>
      </c>
      <c r="K80" s="21" t="s">
        <v>45</v>
      </c>
      <c r="L80" s="21" t="s">
        <v>965</v>
      </c>
      <c r="N80" s="21" t="s">
        <v>80</v>
      </c>
      <c r="O80" s="21" t="s">
        <v>80</v>
      </c>
      <c r="P80" s="21" t="s">
        <v>80</v>
      </c>
      <c r="V80" s="21">
        <v>2025.0</v>
      </c>
      <c r="Z80" s="21" t="s">
        <v>50</v>
      </c>
      <c r="AA80" s="21" t="s">
        <v>976</v>
      </c>
      <c r="AB80" s="21" t="s">
        <v>51</v>
      </c>
      <c r="AC80" s="21" t="s">
        <v>977</v>
      </c>
      <c r="AD80" s="21">
        <v>-7.077733</v>
      </c>
      <c r="AE80" s="21">
        <v>113.287085</v>
      </c>
      <c r="AF80" s="21" t="s">
        <v>982</v>
      </c>
      <c r="AG80" s="21" t="s">
        <v>102</v>
      </c>
      <c r="AJ80" s="21" t="s">
        <v>103</v>
      </c>
      <c r="AK80" s="21" t="s">
        <v>974</v>
      </c>
      <c r="AL80" s="21" t="s">
        <v>975</v>
      </c>
      <c r="AR80" s="21" t="s">
        <v>62</v>
      </c>
    </row>
    <row r="81">
      <c r="A81" s="21" t="s">
        <v>748</v>
      </c>
      <c r="B81" s="21" t="s">
        <v>749</v>
      </c>
      <c r="C81" s="32" t="s">
        <v>750</v>
      </c>
      <c r="D81" s="21" t="s">
        <v>962</v>
      </c>
      <c r="E81" s="21" t="s">
        <v>751</v>
      </c>
      <c r="H81" s="21">
        <v>1.0</v>
      </c>
      <c r="I81" s="21" t="s">
        <v>979</v>
      </c>
      <c r="J81" s="21">
        <v>200.0</v>
      </c>
      <c r="K81" s="21" t="s">
        <v>334</v>
      </c>
      <c r="L81" s="21" t="s">
        <v>965</v>
      </c>
      <c r="N81" s="21" t="s">
        <v>80</v>
      </c>
      <c r="O81" s="21" t="s">
        <v>80</v>
      </c>
      <c r="P81" s="21" t="s">
        <v>80</v>
      </c>
      <c r="V81" s="21">
        <v>2023.0</v>
      </c>
      <c r="Z81" s="21" t="s">
        <v>50</v>
      </c>
      <c r="AA81" s="21" t="s">
        <v>976</v>
      </c>
      <c r="AB81" s="21" t="s">
        <v>51</v>
      </c>
      <c r="AC81" s="21" t="s">
        <v>977</v>
      </c>
      <c r="AD81" s="21">
        <v>-4.935711</v>
      </c>
      <c r="AE81" s="21">
        <v>119.523105</v>
      </c>
      <c r="AF81" s="21" t="s">
        <v>982</v>
      </c>
      <c r="AG81" s="21" t="s">
        <v>80</v>
      </c>
      <c r="AJ81" s="21" t="s">
        <v>694</v>
      </c>
      <c r="AK81" s="21" t="s">
        <v>974</v>
      </c>
      <c r="AL81" s="21" t="s">
        <v>975</v>
      </c>
      <c r="AR81" s="21" t="s">
        <v>62</v>
      </c>
    </row>
    <row r="82">
      <c r="A82" s="21" t="s">
        <v>578</v>
      </c>
      <c r="B82" s="21" t="s">
        <v>579</v>
      </c>
      <c r="C82" s="32" t="s">
        <v>580</v>
      </c>
      <c r="D82" s="21" t="s">
        <v>962</v>
      </c>
      <c r="E82" s="21" t="s">
        <v>581</v>
      </c>
      <c r="H82" s="21">
        <v>1.0</v>
      </c>
      <c r="I82" s="21" t="s">
        <v>1066</v>
      </c>
      <c r="J82" s="21">
        <v>87.0</v>
      </c>
      <c r="K82" s="21" t="s">
        <v>334</v>
      </c>
      <c r="L82" s="21" t="s">
        <v>63</v>
      </c>
      <c r="N82" s="21" t="s">
        <v>80</v>
      </c>
      <c r="V82" s="21">
        <v>1998.0</v>
      </c>
      <c r="Z82" s="21" t="s">
        <v>583</v>
      </c>
      <c r="AA82" s="21" t="s">
        <v>1067</v>
      </c>
      <c r="AB82" s="21" t="s">
        <v>584</v>
      </c>
      <c r="AC82" s="21" t="s">
        <v>1068</v>
      </c>
      <c r="AD82" s="21">
        <v>-4.514215</v>
      </c>
      <c r="AE82" s="21">
        <v>105.697475</v>
      </c>
      <c r="AF82" s="21" t="s">
        <v>971</v>
      </c>
      <c r="AG82" s="21" t="s">
        <v>582</v>
      </c>
      <c r="AJ82" s="21" t="s">
        <v>358</v>
      </c>
      <c r="AK82" s="21" t="s">
        <v>974</v>
      </c>
      <c r="AL82" s="21" t="s">
        <v>975</v>
      </c>
      <c r="AR82" s="21" t="s">
        <v>487</v>
      </c>
    </row>
    <row r="83">
      <c r="A83" s="21" t="s">
        <v>752</v>
      </c>
      <c r="B83" s="21" t="s">
        <v>804</v>
      </c>
      <c r="C83" s="32" t="s">
        <v>754</v>
      </c>
      <c r="D83" s="21" t="s">
        <v>962</v>
      </c>
      <c r="E83" s="21" t="s">
        <v>755</v>
      </c>
      <c r="H83" s="21" t="s">
        <v>963</v>
      </c>
      <c r="I83" s="21" t="s">
        <v>1014</v>
      </c>
      <c r="J83" s="21">
        <v>509.0</v>
      </c>
      <c r="K83" s="21" t="s">
        <v>334</v>
      </c>
      <c r="L83" s="21" t="s">
        <v>965</v>
      </c>
      <c r="N83" s="21" t="s">
        <v>80</v>
      </c>
      <c r="V83" s="21">
        <v>1995.0</v>
      </c>
      <c r="Z83" s="21" t="s">
        <v>97</v>
      </c>
      <c r="AA83" s="21" t="s">
        <v>1038</v>
      </c>
      <c r="AB83" s="21" t="s">
        <v>51</v>
      </c>
      <c r="AC83" s="21" t="s">
        <v>977</v>
      </c>
      <c r="AD83" s="21">
        <v>-6.1087</v>
      </c>
      <c r="AE83" s="21">
        <v>106.7877</v>
      </c>
      <c r="AF83" s="21" t="s">
        <v>971</v>
      </c>
      <c r="AG83" s="21" t="s">
        <v>756</v>
      </c>
      <c r="AJ83" s="21" t="s">
        <v>757</v>
      </c>
      <c r="AK83" s="21" t="s">
        <v>974</v>
      </c>
      <c r="AL83" s="21" t="s">
        <v>975</v>
      </c>
      <c r="AM83" s="21" t="s">
        <v>1069</v>
      </c>
      <c r="AR83" s="21" t="s">
        <v>49</v>
      </c>
    </row>
    <row r="84">
      <c r="A84" s="21" t="s">
        <v>752</v>
      </c>
      <c r="B84" s="21" t="s">
        <v>817</v>
      </c>
      <c r="C84" s="32" t="s">
        <v>754</v>
      </c>
      <c r="D84" s="21" t="s">
        <v>962</v>
      </c>
      <c r="E84" s="21" t="s">
        <v>755</v>
      </c>
      <c r="H84" s="21" t="s">
        <v>1040</v>
      </c>
      <c r="I84" s="21" t="s">
        <v>979</v>
      </c>
      <c r="J84" s="21">
        <v>720.0</v>
      </c>
      <c r="K84" s="21" t="s">
        <v>334</v>
      </c>
      <c r="L84" s="21" t="s">
        <v>965</v>
      </c>
      <c r="N84" s="21" t="s">
        <v>80</v>
      </c>
      <c r="V84" s="21">
        <v>2011.0</v>
      </c>
      <c r="Z84" s="21" t="s">
        <v>97</v>
      </c>
      <c r="AA84" s="21" t="s">
        <v>1038</v>
      </c>
      <c r="AB84" s="21" t="s">
        <v>51</v>
      </c>
      <c r="AC84" s="21" t="s">
        <v>977</v>
      </c>
      <c r="AD84" s="21">
        <v>-6.1087</v>
      </c>
      <c r="AE84" s="21">
        <v>106.7877</v>
      </c>
      <c r="AF84" s="21" t="s">
        <v>971</v>
      </c>
      <c r="AG84" s="21" t="s">
        <v>756</v>
      </c>
      <c r="AJ84" s="21" t="s">
        <v>757</v>
      </c>
      <c r="AK84" s="21" t="s">
        <v>974</v>
      </c>
      <c r="AL84" s="21" t="s">
        <v>975</v>
      </c>
      <c r="AM84" s="21" t="s">
        <v>1069</v>
      </c>
      <c r="AR84" s="21" t="s">
        <v>62</v>
      </c>
    </row>
    <row r="85">
      <c r="A85" s="21" t="s">
        <v>752</v>
      </c>
      <c r="B85" s="21" t="s">
        <v>803</v>
      </c>
      <c r="C85" s="32" t="s">
        <v>754</v>
      </c>
      <c r="D85" s="21" t="s">
        <v>962</v>
      </c>
      <c r="E85" s="21" t="s">
        <v>755</v>
      </c>
      <c r="H85" s="21" t="s">
        <v>1041</v>
      </c>
      <c r="I85" s="21" t="s">
        <v>991</v>
      </c>
      <c r="J85" s="21">
        <v>500.0</v>
      </c>
      <c r="K85" s="21" t="s">
        <v>334</v>
      </c>
      <c r="L85" s="21" t="s">
        <v>965</v>
      </c>
      <c r="N85" s="21" t="s">
        <v>80</v>
      </c>
      <c r="V85" s="21">
        <v>2021.0</v>
      </c>
      <c r="Z85" s="21" t="s">
        <v>97</v>
      </c>
      <c r="AA85" s="21" t="s">
        <v>1038</v>
      </c>
      <c r="AB85" s="21" t="s">
        <v>51</v>
      </c>
      <c r="AC85" s="21" t="s">
        <v>977</v>
      </c>
      <c r="AD85" s="21">
        <v>-6.1087</v>
      </c>
      <c r="AE85" s="21">
        <v>106.7877</v>
      </c>
      <c r="AF85" s="21" t="s">
        <v>971</v>
      </c>
      <c r="AG85" s="21" t="s">
        <v>756</v>
      </c>
      <c r="AJ85" s="21" t="s">
        <v>757</v>
      </c>
      <c r="AK85" s="21" t="s">
        <v>974</v>
      </c>
      <c r="AL85" s="21" t="s">
        <v>975</v>
      </c>
      <c r="AM85" s="21" t="s">
        <v>1069</v>
      </c>
      <c r="AR85" s="21" t="s">
        <v>49</v>
      </c>
    </row>
    <row r="86">
      <c r="A86" s="21" t="s">
        <v>752</v>
      </c>
      <c r="B86" s="21" t="s">
        <v>753</v>
      </c>
      <c r="C86" s="32" t="s">
        <v>754</v>
      </c>
      <c r="D86" s="21" t="s">
        <v>962</v>
      </c>
      <c r="E86" s="21" t="s">
        <v>755</v>
      </c>
      <c r="H86" s="21" t="s">
        <v>1042</v>
      </c>
      <c r="I86" s="21" t="s">
        <v>979</v>
      </c>
      <c r="J86" s="21">
        <v>200.0</v>
      </c>
      <c r="K86" s="21" t="s">
        <v>334</v>
      </c>
      <c r="L86" s="21" t="s">
        <v>1013</v>
      </c>
      <c r="N86" s="21" t="s">
        <v>80</v>
      </c>
      <c r="V86" s="21">
        <v>1981.0</v>
      </c>
      <c r="Z86" s="21" t="s">
        <v>97</v>
      </c>
      <c r="AA86" s="21" t="s">
        <v>1038</v>
      </c>
      <c r="AB86" s="21" t="s">
        <v>51</v>
      </c>
      <c r="AC86" s="21" t="s">
        <v>977</v>
      </c>
      <c r="AD86" s="21">
        <v>-6.1087</v>
      </c>
      <c r="AE86" s="21">
        <v>106.7877</v>
      </c>
      <c r="AF86" s="21" t="s">
        <v>971</v>
      </c>
      <c r="AG86" s="21" t="s">
        <v>756</v>
      </c>
      <c r="AJ86" s="21" t="s">
        <v>757</v>
      </c>
      <c r="AK86" s="21" t="s">
        <v>974</v>
      </c>
      <c r="AL86" s="21" t="s">
        <v>975</v>
      </c>
      <c r="AM86" s="21" t="s">
        <v>1069</v>
      </c>
      <c r="AR86" s="21" t="s">
        <v>62</v>
      </c>
    </row>
    <row r="87">
      <c r="A87" s="21" t="s">
        <v>752</v>
      </c>
      <c r="B87" s="21" t="s">
        <v>758</v>
      </c>
      <c r="C87" s="32" t="s">
        <v>754</v>
      </c>
      <c r="D87" s="21" t="s">
        <v>962</v>
      </c>
      <c r="E87" s="21" t="s">
        <v>755</v>
      </c>
      <c r="H87" s="21" t="s">
        <v>1043</v>
      </c>
      <c r="I87" s="21" t="s">
        <v>979</v>
      </c>
      <c r="J87" s="21">
        <v>200.0</v>
      </c>
      <c r="K87" s="21" t="s">
        <v>334</v>
      </c>
      <c r="L87" s="21" t="s">
        <v>1013</v>
      </c>
      <c r="N87" s="21" t="s">
        <v>80</v>
      </c>
      <c r="V87" s="21">
        <v>1981.0</v>
      </c>
      <c r="Z87" s="21" t="s">
        <v>97</v>
      </c>
      <c r="AA87" s="21" t="s">
        <v>1038</v>
      </c>
      <c r="AB87" s="21" t="s">
        <v>51</v>
      </c>
      <c r="AC87" s="21" t="s">
        <v>977</v>
      </c>
      <c r="AD87" s="21">
        <v>-6.1087</v>
      </c>
      <c r="AE87" s="21">
        <v>106.7877</v>
      </c>
      <c r="AF87" s="21" t="s">
        <v>971</v>
      </c>
      <c r="AG87" s="21" t="s">
        <v>756</v>
      </c>
      <c r="AJ87" s="21" t="s">
        <v>757</v>
      </c>
      <c r="AK87" s="21" t="s">
        <v>974</v>
      </c>
      <c r="AL87" s="21" t="s">
        <v>975</v>
      </c>
      <c r="AM87" s="21" t="s">
        <v>1069</v>
      </c>
      <c r="AR87" s="21" t="s">
        <v>62</v>
      </c>
    </row>
    <row r="88">
      <c r="A88" s="21" t="s">
        <v>708</v>
      </c>
      <c r="B88" s="21" t="s">
        <v>816</v>
      </c>
      <c r="C88" s="32" t="s">
        <v>710</v>
      </c>
      <c r="D88" s="21" t="s">
        <v>962</v>
      </c>
      <c r="E88" s="21" t="s">
        <v>711</v>
      </c>
      <c r="G88" s="21" t="s">
        <v>1070</v>
      </c>
      <c r="H88" s="21">
        <v>1.0</v>
      </c>
      <c r="I88" s="21" t="s">
        <v>979</v>
      </c>
      <c r="J88" s="21">
        <v>640.0</v>
      </c>
      <c r="K88" s="21" t="s">
        <v>334</v>
      </c>
      <c r="L88" s="21" t="s">
        <v>965</v>
      </c>
      <c r="M88" s="21" t="s">
        <v>1071</v>
      </c>
      <c r="N88" s="21" t="s">
        <v>80</v>
      </c>
      <c r="V88" s="21">
        <v>1997.0</v>
      </c>
      <c r="Z88" s="21" t="s">
        <v>97</v>
      </c>
      <c r="AA88" s="21" t="s">
        <v>1038</v>
      </c>
      <c r="AB88" s="21" t="s">
        <v>51</v>
      </c>
      <c r="AC88" s="21" t="s">
        <v>977</v>
      </c>
      <c r="AD88" s="21">
        <v>-6.0867</v>
      </c>
      <c r="AE88" s="21">
        <v>106.9987</v>
      </c>
      <c r="AF88" s="21" t="s">
        <v>971</v>
      </c>
      <c r="AG88" s="21" t="s">
        <v>299</v>
      </c>
      <c r="AJ88" s="21" t="s">
        <v>448</v>
      </c>
      <c r="AK88" s="21" t="s">
        <v>974</v>
      </c>
      <c r="AL88" s="21" t="s">
        <v>975</v>
      </c>
      <c r="AM88" s="21" t="s">
        <v>1072</v>
      </c>
      <c r="AR88" s="21" t="s">
        <v>62</v>
      </c>
    </row>
    <row r="89">
      <c r="A89" s="21" t="s">
        <v>708</v>
      </c>
      <c r="B89" s="21" t="s">
        <v>764</v>
      </c>
      <c r="C89" s="32" t="s">
        <v>710</v>
      </c>
      <c r="D89" s="21" t="s">
        <v>962</v>
      </c>
      <c r="E89" s="21" t="s">
        <v>711</v>
      </c>
      <c r="G89" s="21" t="s">
        <v>1070</v>
      </c>
      <c r="H89" s="21">
        <v>2.0</v>
      </c>
      <c r="I89" s="21" t="s">
        <v>979</v>
      </c>
      <c r="J89" s="21">
        <v>280.0</v>
      </c>
      <c r="K89" s="21" t="s">
        <v>334</v>
      </c>
      <c r="L89" s="21" t="s">
        <v>983</v>
      </c>
      <c r="N89" s="21" t="s">
        <v>80</v>
      </c>
      <c r="V89" s="21">
        <v>2022.0</v>
      </c>
      <c r="Z89" s="21" t="s">
        <v>97</v>
      </c>
      <c r="AA89" s="21" t="s">
        <v>1038</v>
      </c>
      <c r="AB89" s="21" t="s">
        <v>51</v>
      </c>
      <c r="AC89" s="21" t="s">
        <v>977</v>
      </c>
      <c r="AD89" s="21">
        <v>-6.0867</v>
      </c>
      <c r="AE89" s="21">
        <v>106.9987</v>
      </c>
      <c r="AF89" s="21" t="s">
        <v>971</v>
      </c>
      <c r="AG89" s="21" t="s">
        <v>299</v>
      </c>
      <c r="AJ89" s="21" t="s">
        <v>448</v>
      </c>
      <c r="AK89" s="21" t="s">
        <v>974</v>
      </c>
      <c r="AL89" s="21" t="s">
        <v>975</v>
      </c>
      <c r="AM89" s="21" t="s">
        <v>1072</v>
      </c>
      <c r="AR89" s="21" t="s">
        <v>62</v>
      </c>
    </row>
    <row r="90">
      <c r="A90" s="21" t="s">
        <v>708</v>
      </c>
      <c r="B90" s="21" t="s">
        <v>781</v>
      </c>
      <c r="C90" s="32" t="s">
        <v>710</v>
      </c>
      <c r="D90" s="21" t="s">
        <v>962</v>
      </c>
      <c r="E90" s="21" t="s">
        <v>711</v>
      </c>
      <c r="G90" s="21" t="s">
        <v>1070</v>
      </c>
      <c r="H90" s="21" t="s">
        <v>1073</v>
      </c>
      <c r="I90" s="21" t="s">
        <v>1074</v>
      </c>
      <c r="J90" s="21">
        <v>325.0</v>
      </c>
      <c r="K90" s="21" t="s">
        <v>334</v>
      </c>
      <c r="L90" s="21" t="s">
        <v>1013</v>
      </c>
      <c r="N90" s="21" t="s">
        <v>80</v>
      </c>
      <c r="V90" s="21">
        <v>2025.0</v>
      </c>
      <c r="Z90" s="21" t="s">
        <v>97</v>
      </c>
      <c r="AA90" s="21" t="s">
        <v>1038</v>
      </c>
      <c r="AB90" s="21" t="s">
        <v>51</v>
      </c>
      <c r="AC90" s="21" t="s">
        <v>977</v>
      </c>
      <c r="AD90" s="21">
        <v>-6.0867</v>
      </c>
      <c r="AE90" s="21">
        <v>106.9987</v>
      </c>
      <c r="AF90" s="21" t="s">
        <v>971</v>
      </c>
      <c r="AG90" s="21" t="s">
        <v>299</v>
      </c>
      <c r="AJ90" s="21" t="s">
        <v>448</v>
      </c>
      <c r="AK90" s="21" t="s">
        <v>974</v>
      </c>
      <c r="AL90" s="21" t="s">
        <v>975</v>
      </c>
      <c r="AM90" s="21" t="s">
        <v>1072</v>
      </c>
      <c r="AR90" s="21" t="s">
        <v>62</v>
      </c>
    </row>
    <row r="91">
      <c r="A91" s="21" t="s">
        <v>708</v>
      </c>
      <c r="B91" s="21" t="s">
        <v>709</v>
      </c>
      <c r="C91" s="32" t="s">
        <v>710</v>
      </c>
      <c r="D91" s="21" t="s">
        <v>962</v>
      </c>
      <c r="E91" s="21" t="s">
        <v>711</v>
      </c>
      <c r="G91" s="21" t="s">
        <v>1070</v>
      </c>
      <c r="H91" s="56">
        <v>45660.0</v>
      </c>
      <c r="I91" s="21" t="s">
        <v>979</v>
      </c>
      <c r="J91" s="21">
        <v>140.0</v>
      </c>
      <c r="K91" s="21" t="s">
        <v>334</v>
      </c>
      <c r="L91" s="21" t="s">
        <v>983</v>
      </c>
      <c r="N91" s="21" t="s">
        <v>80</v>
      </c>
      <c r="V91" s="21">
        <v>2005.0</v>
      </c>
      <c r="Z91" s="21" t="s">
        <v>97</v>
      </c>
      <c r="AA91" s="21" t="s">
        <v>1038</v>
      </c>
      <c r="AB91" s="21" t="s">
        <v>51</v>
      </c>
      <c r="AC91" s="21" t="s">
        <v>977</v>
      </c>
      <c r="AD91" s="21">
        <v>-6.0867</v>
      </c>
      <c r="AE91" s="21">
        <v>106.9987</v>
      </c>
      <c r="AF91" s="21" t="s">
        <v>971</v>
      </c>
      <c r="AG91" s="21" t="s">
        <v>299</v>
      </c>
      <c r="AJ91" s="21" t="s">
        <v>448</v>
      </c>
      <c r="AK91" s="21" t="s">
        <v>974</v>
      </c>
      <c r="AL91" s="21" t="s">
        <v>975</v>
      </c>
      <c r="AM91" s="21" t="s">
        <v>1072</v>
      </c>
      <c r="AR91" s="21" t="s">
        <v>62</v>
      </c>
    </row>
    <row r="92">
      <c r="A92" s="21" t="s">
        <v>708</v>
      </c>
      <c r="B92" s="21" t="s">
        <v>712</v>
      </c>
      <c r="C92" s="32" t="s">
        <v>710</v>
      </c>
      <c r="D92" s="21" t="s">
        <v>962</v>
      </c>
      <c r="E92" s="21" t="s">
        <v>711</v>
      </c>
      <c r="G92" s="21" t="s">
        <v>1070</v>
      </c>
      <c r="H92" s="56">
        <v>45691.0</v>
      </c>
      <c r="I92" s="21" t="s">
        <v>979</v>
      </c>
      <c r="J92" s="21">
        <v>140.0</v>
      </c>
      <c r="K92" s="21" t="s">
        <v>334</v>
      </c>
      <c r="L92" s="21" t="s">
        <v>983</v>
      </c>
      <c r="N92" s="21" t="s">
        <v>80</v>
      </c>
      <c r="V92" s="21">
        <v>2005.0</v>
      </c>
      <c r="Z92" s="21" t="s">
        <v>97</v>
      </c>
      <c r="AA92" s="21" t="s">
        <v>1038</v>
      </c>
      <c r="AB92" s="21" t="s">
        <v>51</v>
      </c>
      <c r="AC92" s="21" t="s">
        <v>977</v>
      </c>
      <c r="AD92" s="21">
        <v>-6.0867</v>
      </c>
      <c r="AE92" s="21">
        <v>106.9987</v>
      </c>
      <c r="AF92" s="21" t="s">
        <v>971</v>
      </c>
      <c r="AG92" s="21" t="s">
        <v>299</v>
      </c>
      <c r="AJ92" s="21" t="s">
        <v>448</v>
      </c>
      <c r="AK92" s="21" t="s">
        <v>974</v>
      </c>
      <c r="AL92" s="21" t="s">
        <v>975</v>
      </c>
      <c r="AM92" s="21" t="s">
        <v>1072</v>
      </c>
      <c r="AR92" s="21" t="s">
        <v>62</v>
      </c>
    </row>
    <row r="93">
      <c r="A93" s="21" t="s">
        <v>708</v>
      </c>
      <c r="B93" s="21" t="s">
        <v>713</v>
      </c>
      <c r="C93" s="32" t="s">
        <v>710</v>
      </c>
      <c r="D93" s="21" t="s">
        <v>962</v>
      </c>
      <c r="E93" s="21" t="s">
        <v>711</v>
      </c>
      <c r="G93" s="21" t="s">
        <v>1070</v>
      </c>
      <c r="H93" s="56">
        <v>45719.0</v>
      </c>
      <c r="I93" s="21" t="s">
        <v>979</v>
      </c>
      <c r="J93" s="21">
        <v>140.0</v>
      </c>
      <c r="K93" s="21" t="s">
        <v>334</v>
      </c>
      <c r="L93" s="21" t="s">
        <v>983</v>
      </c>
      <c r="N93" s="21" t="s">
        <v>80</v>
      </c>
      <c r="V93" s="21">
        <v>2005.0</v>
      </c>
      <c r="Z93" s="21" t="s">
        <v>97</v>
      </c>
      <c r="AA93" s="21" t="s">
        <v>1038</v>
      </c>
      <c r="AB93" s="21" t="s">
        <v>51</v>
      </c>
      <c r="AC93" s="21" t="s">
        <v>977</v>
      </c>
      <c r="AD93" s="21">
        <v>-6.0867</v>
      </c>
      <c r="AE93" s="21">
        <v>106.9987</v>
      </c>
      <c r="AF93" s="21" t="s">
        <v>971</v>
      </c>
      <c r="AG93" s="21" t="s">
        <v>299</v>
      </c>
      <c r="AJ93" s="21" t="s">
        <v>448</v>
      </c>
      <c r="AK93" s="21" t="s">
        <v>974</v>
      </c>
      <c r="AL93" s="21" t="s">
        <v>975</v>
      </c>
      <c r="AM93" s="21" t="s">
        <v>1072</v>
      </c>
      <c r="AR93" s="21" t="s">
        <v>62</v>
      </c>
    </row>
    <row r="94">
      <c r="A94" s="21" t="s">
        <v>708</v>
      </c>
      <c r="B94" s="21" t="s">
        <v>782</v>
      </c>
      <c r="C94" s="32" t="s">
        <v>710</v>
      </c>
      <c r="D94" s="21" t="s">
        <v>962</v>
      </c>
      <c r="E94" s="21" t="s">
        <v>711</v>
      </c>
      <c r="G94" s="21" t="s">
        <v>1070</v>
      </c>
      <c r="H94" s="21" t="s">
        <v>1075</v>
      </c>
      <c r="I94" s="21" t="s">
        <v>1074</v>
      </c>
      <c r="J94" s="21">
        <v>325.0</v>
      </c>
      <c r="K94" s="21" t="s">
        <v>334</v>
      </c>
      <c r="L94" s="21" t="s">
        <v>1013</v>
      </c>
      <c r="N94" s="21" t="s">
        <v>80</v>
      </c>
      <c r="V94" s="21">
        <v>2025.0</v>
      </c>
      <c r="Z94" s="21" t="s">
        <v>97</v>
      </c>
      <c r="AA94" s="21" t="s">
        <v>1038</v>
      </c>
      <c r="AB94" s="21" t="s">
        <v>51</v>
      </c>
      <c r="AC94" s="21" t="s">
        <v>977</v>
      </c>
      <c r="AD94" s="21">
        <v>-6.0867</v>
      </c>
      <c r="AE94" s="21">
        <v>106.9987</v>
      </c>
      <c r="AF94" s="21" t="s">
        <v>971</v>
      </c>
      <c r="AG94" s="21" t="s">
        <v>299</v>
      </c>
      <c r="AJ94" s="21" t="s">
        <v>448</v>
      </c>
      <c r="AK94" s="21" t="s">
        <v>974</v>
      </c>
      <c r="AL94" s="21" t="s">
        <v>975</v>
      </c>
      <c r="AM94" s="21" t="s">
        <v>1072</v>
      </c>
      <c r="AR94" s="21" t="s">
        <v>62</v>
      </c>
    </row>
    <row r="95">
      <c r="A95" s="21" t="s">
        <v>708</v>
      </c>
      <c r="B95" s="21" t="s">
        <v>714</v>
      </c>
      <c r="C95" s="32" t="s">
        <v>710</v>
      </c>
      <c r="D95" s="21" t="s">
        <v>962</v>
      </c>
      <c r="E95" s="21" t="s">
        <v>711</v>
      </c>
      <c r="G95" s="21" t="s">
        <v>1070</v>
      </c>
      <c r="H95" s="56">
        <v>45661.0</v>
      </c>
      <c r="I95" s="21" t="s">
        <v>979</v>
      </c>
      <c r="J95" s="21">
        <v>140.0</v>
      </c>
      <c r="K95" s="21" t="s">
        <v>334</v>
      </c>
      <c r="L95" s="21" t="s">
        <v>983</v>
      </c>
      <c r="N95" s="21" t="s">
        <v>80</v>
      </c>
      <c r="V95" s="21">
        <v>2005.0</v>
      </c>
      <c r="Z95" s="21" t="s">
        <v>97</v>
      </c>
      <c r="AA95" s="21" t="s">
        <v>1038</v>
      </c>
      <c r="AB95" s="21" t="s">
        <v>51</v>
      </c>
      <c r="AC95" s="21" t="s">
        <v>977</v>
      </c>
      <c r="AD95" s="21">
        <v>-6.0867</v>
      </c>
      <c r="AE95" s="21">
        <v>106.9987</v>
      </c>
      <c r="AF95" s="21" t="s">
        <v>971</v>
      </c>
      <c r="AG95" s="21" t="s">
        <v>299</v>
      </c>
      <c r="AJ95" s="21" t="s">
        <v>448</v>
      </c>
      <c r="AK95" s="21" t="s">
        <v>974</v>
      </c>
      <c r="AL95" s="21" t="s">
        <v>975</v>
      </c>
      <c r="AM95" s="21" t="s">
        <v>1072</v>
      </c>
      <c r="AR95" s="21" t="s">
        <v>62</v>
      </c>
    </row>
    <row r="96">
      <c r="A96" s="21" t="s">
        <v>708</v>
      </c>
      <c r="B96" s="21" t="s">
        <v>715</v>
      </c>
      <c r="C96" s="32" t="s">
        <v>710</v>
      </c>
      <c r="D96" s="21" t="s">
        <v>962</v>
      </c>
      <c r="E96" s="21" t="s">
        <v>711</v>
      </c>
      <c r="G96" s="21" t="s">
        <v>1070</v>
      </c>
      <c r="H96" s="56">
        <v>45692.0</v>
      </c>
      <c r="I96" s="21" t="s">
        <v>979</v>
      </c>
      <c r="J96" s="21">
        <v>140.0</v>
      </c>
      <c r="K96" s="21" t="s">
        <v>334</v>
      </c>
      <c r="L96" s="21" t="s">
        <v>983</v>
      </c>
      <c r="N96" s="21" t="s">
        <v>80</v>
      </c>
      <c r="V96" s="21">
        <v>2005.0</v>
      </c>
      <c r="Z96" s="21" t="s">
        <v>97</v>
      </c>
      <c r="AA96" s="21" t="s">
        <v>1038</v>
      </c>
      <c r="AB96" s="21" t="s">
        <v>51</v>
      </c>
      <c r="AC96" s="21" t="s">
        <v>977</v>
      </c>
      <c r="AD96" s="21">
        <v>-6.0867</v>
      </c>
      <c r="AE96" s="21">
        <v>106.9987</v>
      </c>
      <c r="AF96" s="21" t="s">
        <v>971</v>
      </c>
      <c r="AG96" s="21" t="s">
        <v>299</v>
      </c>
      <c r="AJ96" s="21" t="s">
        <v>448</v>
      </c>
      <c r="AK96" s="21" t="s">
        <v>974</v>
      </c>
      <c r="AL96" s="21" t="s">
        <v>975</v>
      </c>
      <c r="AM96" s="21" t="s">
        <v>1072</v>
      </c>
      <c r="AR96" s="21" t="s">
        <v>62</v>
      </c>
    </row>
    <row r="97">
      <c r="A97" s="21" t="s">
        <v>708</v>
      </c>
      <c r="B97" s="21" t="s">
        <v>716</v>
      </c>
      <c r="C97" s="32" t="s">
        <v>710</v>
      </c>
      <c r="D97" s="21" t="s">
        <v>962</v>
      </c>
      <c r="E97" s="21" t="s">
        <v>711</v>
      </c>
      <c r="G97" s="21" t="s">
        <v>1070</v>
      </c>
      <c r="H97" s="56">
        <v>45720.0</v>
      </c>
      <c r="I97" s="21" t="s">
        <v>979</v>
      </c>
      <c r="J97" s="21">
        <v>140.0</v>
      </c>
      <c r="K97" s="21" t="s">
        <v>334</v>
      </c>
      <c r="L97" s="21" t="s">
        <v>983</v>
      </c>
      <c r="N97" s="21" t="s">
        <v>80</v>
      </c>
      <c r="V97" s="21">
        <v>2005.0</v>
      </c>
      <c r="Z97" s="21" t="s">
        <v>97</v>
      </c>
      <c r="AA97" s="21" t="s">
        <v>1038</v>
      </c>
      <c r="AB97" s="21" t="s">
        <v>51</v>
      </c>
      <c r="AC97" s="21" t="s">
        <v>977</v>
      </c>
      <c r="AD97" s="21">
        <v>-6.0867</v>
      </c>
      <c r="AE97" s="21">
        <v>106.9987</v>
      </c>
      <c r="AF97" s="21" t="s">
        <v>971</v>
      </c>
      <c r="AG97" s="21" t="s">
        <v>299</v>
      </c>
      <c r="AJ97" s="21" t="s">
        <v>448</v>
      </c>
      <c r="AK97" s="21" t="s">
        <v>974</v>
      </c>
      <c r="AL97" s="21" t="s">
        <v>975</v>
      </c>
      <c r="AM97" s="21" t="s">
        <v>1072</v>
      </c>
      <c r="AR97" s="21" t="s">
        <v>62</v>
      </c>
    </row>
    <row r="98">
      <c r="A98" s="21" t="s">
        <v>708</v>
      </c>
      <c r="B98" s="21" t="s">
        <v>783</v>
      </c>
      <c r="C98" s="32" t="s">
        <v>710</v>
      </c>
      <c r="D98" s="21" t="s">
        <v>962</v>
      </c>
      <c r="E98" s="21" t="s">
        <v>711</v>
      </c>
      <c r="G98" s="21" t="s">
        <v>1070</v>
      </c>
      <c r="H98" s="56">
        <v>45662.0</v>
      </c>
      <c r="I98" s="21" t="s">
        <v>979</v>
      </c>
      <c r="J98" s="21">
        <v>384.0</v>
      </c>
      <c r="K98" s="21" t="s">
        <v>334</v>
      </c>
      <c r="L98" s="21" t="s">
        <v>965</v>
      </c>
      <c r="M98" s="21" t="s">
        <v>1071</v>
      </c>
      <c r="N98" s="21" t="s">
        <v>80</v>
      </c>
      <c r="V98" s="21">
        <v>2010.0</v>
      </c>
      <c r="Z98" s="21" t="s">
        <v>97</v>
      </c>
      <c r="AA98" s="21" t="s">
        <v>1038</v>
      </c>
      <c r="AB98" s="21" t="s">
        <v>51</v>
      </c>
      <c r="AC98" s="21" t="s">
        <v>977</v>
      </c>
      <c r="AD98" s="21">
        <v>-6.0867</v>
      </c>
      <c r="AE98" s="21">
        <v>106.9987</v>
      </c>
      <c r="AF98" s="21" t="s">
        <v>971</v>
      </c>
      <c r="AG98" s="21" t="s">
        <v>299</v>
      </c>
      <c r="AJ98" s="21" t="s">
        <v>448</v>
      </c>
      <c r="AK98" s="21" t="s">
        <v>974</v>
      </c>
      <c r="AL98" s="21" t="s">
        <v>975</v>
      </c>
      <c r="AM98" s="21" t="s">
        <v>1072</v>
      </c>
      <c r="AR98" s="21" t="s">
        <v>62</v>
      </c>
    </row>
    <row r="99">
      <c r="A99" s="21" t="s">
        <v>585</v>
      </c>
      <c r="B99" s="21" t="s">
        <v>586</v>
      </c>
      <c r="C99" s="32" t="s">
        <v>587</v>
      </c>
      <c r="D99" s="21" t="s">
        <v>962</v>
      </c>
      <c r="E99" s="21" t="s">
        <v>588</v>
      </c>
      <c r="H99" s="21">
        <v>1.0</v>
      </c>
      <c r="I99" s="21" t="s">
        <v>979</v>
      </c>
      <c r="J99" s="21">
        <v>100.0</v>
      </c>
      <c r="K99" s="21" t="s">
        <v>334</v>
      </c>
      <c r="L99" s="21" t="s">
        <v>983</v>
      </c>
      <c r="N99" s="21" t="s">
        <v>1076</v>
      </c>
      <c r="V99" s="21">
        <v>2000.0</v>
      </c>
      <c r="Z99" s="21" t="s">
        <v>50</v>
      </c>
      <c r="AA99" s="21" t="s">
        <v>976</v>
      </c>
      <c r="AB99" s="21" t="s">
        <v>51</v>
      </c>
      <c r="AC99" s="21" t="s">
        <v>977</v>
      </c>
      <c r="AD99" s="21">
        <v>1.372163</v>
      </c>
      <c r="AE99" s="21">
        <v>101.225118</v>
      </c>
      <c r="AF99" s="21" t="s">
        <v>971</v>
      </c>
      <c r="AG99" s="21" t="s">
        <v>589</v>
      </c>
      <c r="AJ99" s="21" t="s">
        <v>320</v>
      </c>
      <c r="AK99" s="21" t="s">
        <v>974</v>
      </c>
      <c r="AL99" s="21" t="s">
        <v>975</v>
      </c>
      <c r="AM99" s="21" t="s">
        <v>1077</v>
      </c>
      <c r="AO99" s="21" t="s">
        <v>309</v>
      </c>
      <c r="AP99" s="21" t="s">
        <v>310</v>
      </c>
      <c r="AR99" s="21" t="s">
        <v>62</v>
      </c>
    </row>
    <row r="100">
      <c r="A100" s="21" t="s">
        <v>585</v>
      </c>
      <c r="B100" s="21" t="s">
        <v>590</v>
      </c>
      <c r="C100" s="32" t="s">
        <v>587</v>
      </c>
      <c r="D100" s="21" t="s">
        <v>962</v>
      </c>
      <c r="E100" s="21" t="s">
        <v>588</v>
      </c>
      <c r="H100" s="21">
        <v>2.0</v>
      </c>
      <c r="I100" s="21" t="s">
        <v>979</v>
      </c>
      <c r="J100" s="21">
        <v>100.0</v>
      </c>
      <c r="K100" s="21" t="s">
        <v>334</v>
      </c>
      <c r="L100" s="21" t="s">
        <v>983</v>
      </c>
      <c r="N100" s="21" t="s">
        <v>1076</v>
      </c>
      <c r="V100" s="21">
        <v>2000.0</v>
      </c>
      <c r="Z100" s="21" t="s">
        <v>50</v>
      </c>
      <c r="AA100" s="21" t="s">
        <v>976</v>
      </c>
      <c r="AB100" s="21" t="s">
        <v>51</v>
      </c>
      <c r="AC100" s="21" t="s">
        <v>977</v>
      </c>
      <c r="AD100" s="21">
        <v>1.372163</v>
      </c>
      <c r="AE100" s="21">
        <v>101.225118</v>
      </c>
      <c r="AF100" s="21" t="s">
        <v>971</v>
      </c>
      <c r="AG100" s="21" t="s">
        <v>589</v>
      </c>
      <c r="AJ100" s="21" t="s">
        <v>320</v>
      </c>
      <c r="AK100" s="21" t="s">
        <v>974</v>
      </c>
      <c r="AL100" s="21" t="s">
        <v>975</v>
      </c>
      <c r="AM100" s="21" t="s">
        <v>1077</v>
      </c>
      <c r="AO100" s="21" t="s">
        <v>309</v>
      </c>
      <c r="AP100" s="21" t="s">
        <v>310</v>
      </c>
      <c r="AR100" s="21" t="s">
        <v>62</v>
      </c>
    </row>
    <row r="101">
      <c r="A101" s="21" t="s">
        <v>585</v>
      </c>
      <c r="B101" s="21" t="s">
        <v>591</v>
      </c>
      <c r="C101" s="32" t="s">
        <v>587</v>
      </c>
      <c r="D101" s="21" t="s">
        <v>962</v>
      </c>
      <c r="E101" s="21" t="s">
        <v>588</v>
      </c>
      <c r="H101" s="21">
        <v>3.0</v>
      </c>
      <c r="I101" s="21" t="s">
        <v>979</v>
      </c>
      <c r="J101" s="21">
        <v>100.0</v>
      </c>
      <c r="K101" s="21" t="s">
        <v>334</v>
      </c>
      <c r="L101" s="21" t="s">
        <v>983</v>
      </c>
      <c r="N101" s="21" t="s">
        <v>1076</v>
      </c>
      <c r="V101" s="21">
        <v>2000.0</v>
      </c>
      <c r="Z101" s="21" t="s">
        <v>50</v>
      </c>
      <c r="AA101" s="21" t="s">
        <v>976</v>
      </c>
      <c r="AB101" s="21" t="s">
        <v>51</v>
      </c>
      <c r="AC101" s="21" t="s">
        <v>977</v>
      </c>
      <c r="AD101" s="21">
        <v>1.372163</v>
      </c>
      <c r="AE101" s="21">
        <v>101.225118</v>
      </c>
      <c r="AF101" s="21" t="s">
        <v>971</v>
      </c>
      <c r="AG101" s="21" t="s">
        <v>589</v>
      </c>
      <c r="AJ101" s="21" t="s">
        <v>320</v>
      </c>
      <c r="AK101" s="21" t="s">
        <v>974</v>
      </c>
      <c r="AL101" s="21" t="s">
        <v>975</v>
      </c>
      <c r="AM101" s="21" t="s">
        <v>1077</v>
      </c>
      <c r="AO101" s="21" t="s">
        <v>309</v>
      </c>
      <c r="AP101" s="21" t="s">
        <v>310</v>
      </c>
      <c r="AR101" s="21" t="s">
        <v>62</v>
      </c>
    </row>
    <row r="102">
      <c r="A102" s="21" t="s">
        <v>721</v>
      </c>
      <c r="B102" s="21" t="s">
        <v>722</v>
      </c>
      <c r="C102" s="32" t="s">
        <v>723</v>
      </c>
      <c r="D102" s="21" t="s">
        <v>962</v>
      </c>
      <c r="E102" s="21" t="s">
        <v>724</v>
      </c>
      <c r="H102" s="21">
        <v>1.0</v>
      </c>
      <c r="I102" s="21" t="s">
        <v>979</v>
      </c>
      <c r="J102" s="21">
        <v>150.0</v>
      </c>
      <c r="K102" s="21" t="s">
        <v>334</v>
      </c>
      <c r="L102" s="21" t="s">
        <v>965</v>
      </c>
      <c r="N102" s="21" t="s">
        <v>80</v>
      </c>
      <c r="V102" s="21">
        <v>2004.0</v>
      </c>
      <c r="Z102" s="21" t="s">
        <v>725</v>
      </c>
      <c r="AA102" s="21" t="s">
        <v>1078</v>
      </c>
      <c r="AB102" s="21" t="s">
        <v>726</v>
      </c>
      <c r="AC102" s="21" t="s">
        <v>1079</v>
      </c>
      <c r="AD102" s="21">
        <v>-2.926817</v>
      </c>
      <c r="AE102" s="21">
        <v>104.867665</v>
      </c>
      <c r="AF102" s="21" t="s">
        <v>971</v>
      </c>
      <c r="AG102" s="21" t="s">
        <v>596</v>
      </c>
      <c r="AJ102" s="21" t="s">
        <v>358</v>
      </c>
      <c r="AK102" s="21" t="s">
        <v>974</v>
      </c>
      <c r="AL102" s="21" t="s">
        <v>975</v>
      </c>
      <c r="AR102" s="21" t="s">
        <v>62</v>
      </c>
    </row>
    <row r="103">
      <c r="A103" s="21" t="s">
        <v>566</v>
      </c>
      <c r="B103" s="21" t="s">
        <v>567</v>
      </c>
      <c r="C103" s="32" t="s">
        <v>568</v>
      </c>
      <c r="D103" s="21" t="s">
        <v>962</v>
      </c>
      <c r="E103" s="21" t="s">
        <v>569</v>
      </c>
      <c r="H103" s="21">
        <v>1.0</v>
      </c>
      <c r="I103" s="21" t="s">
        <v>979</v>
      </c>
      <c r="J103" s="21">
        <v>82.0</v>
      </c>
      <c r="K103" s="21" t="s">
        <v>334</v>
      </c>
      <c r="L103" s="21" t="s">
        <v>965</v>
      </c>
      <c r="N103" s="21" t="s">
        <v>80</v>
      </c>
      <c r="V103" s="21">
        <v>2016.0</v>
      </c>
      <c r="Z103" s="21" t="s">
        <v>571</v>
      </c>
      <c r="AA103" s="21" t="s">
        <v>1080</v>
      </c>
      <c r="AB103" s="21" t="s">
        <v>572</v>
      </c>
      <c r="AC103" s="21" t="s">
        <v>1081</v>
      </c>
      <c r="AD103" s="21">
        <v>1.014533</v>
      </c>
      <c r="AE103" s="21">
        <v>104.007077</v>
      </c>
      <c r="AF103" s="21" t="s">
        <v>971</v>
      </c>
      <c r="AG103" s="21" t="s">
        <v>570</v>
      </c>
      <c r="AJ103" s="21" t="s">
        <v>320</v>
      </c>
      <c r="AK103" s="21" t="s">
        <v>974</v>
      </c>
      <c r="AL103" s="21" t="s">
        <v>975</v>
      </c>
      <c r="AR103" s="21" t="s">
        <v>62</v>
      </c>
    </row>
    <row r="104">
      <c r="A104" s="21" t="s">
        <v>566</v>
      </c>
      <c r="B104" s="21" t="s">
        <v>573</v>
      </c>
      <c r="C104" s="32" t="s">
        <v>568</v>
      </c>
      <c r="D104" s="21" t="s">
        <v>962</v>
      </c>
      <c r="E104" s="21" t="s">
        <v>569</v>
      </c>
      <c r="H104" s="21">
        <v>2.0</v>
      </c>
      <c r="I104" s="21" t="s">
        <v>979</v>
      </c>
      <c r="J104" s="21">
        <v>82.1</v>
      </c>
      <c r="K104" s="21" t="s">
        <v>334</v>
      </c>
      <c r="L104" s="21" t="s">
        <v>965</v>
      </c>
      <c r="N104" s="21" t="s">
        <v>80</v>
      </c>
      <c r="V104" s="21">
        <v>2010.0</v>
      </c>
      <c r="Z104" s="21" t="s">
        <v>574</v>
      </c>
      <c r="AA104" s="21" t="s">
        <v>1082</v>
      </c>
      <c r="AB104" s="21" t="s">
        <v>575</v>
      </c>
      <c r="AC104" s="21" t="s">
        <v>1083</v>
      </c>
      <c r="AD104" s="21">
        <v>1.014533</v>
      </c>
      <c r="AE104" s="21">
        <v>104.007077</v>
      </c>
      <c r="AF104" s="21" t="s">
        <v>971</v>
      </c>
      <c r="AG104" s="21" t="s">
        <v>570</v>
      </c>
      <c r="AJ104" s="21" t="s">
        <v>320</v>
      </c>
      <c r="AK104" s="21" t="s">
        <v>974</v>
      </c>
      <c r="AL104" s="21" t="s">
        <v>975</v>
      </c>
      <c r="AR104" s="21" t="s">
        <v>62</v>
      </c>
    </row>
    <row r="105">
      <c r="A105" s="21" t="s">
        <v>453</v>
      </c>
      <c r="B105" s="21" t="s">
        <v>454</v>
      </c>
      <c r="C105" s="32" t="s">
        <v>455</v>
      </c>
      <c r="D105" s="21" t="s">
        <v>962</v>
      </c>
      <c r="E105" s="21" t="s">
        <v>456</v>
      </c>
      <c r="H105" s="21">
        <v>1.0</v>
      </c>
      <c r="I105" s="21" t="s">
        <v>979</v>
      </c>
      <c r="J105" s="21">
        <v>50.0</v>
      </c>
      <c r="K105" s="21" t="s">
        <v>334</v>
      </c>
      <c r="L105" s="21" t="s">
        <v>983</v>
      </c>
      <c r="N105" s="21" t="s">
        <v>80</v>
      </c>
      <c r="V105" s="21">
        <v>2011.0</v>
      </c>
      <c r="Z105" s="21" t="s">
        <v>458</v>
      </c>
      <c r="AA105" s="21" t="s">
        <v>1084</v>
      </c>
      <c r="AB105" s="21" t="s">
        <v>459</v>
      </c>
      <c r="AC105" s="21" t="s">
        <v>1085</v>
      </c>
      <c r="AD105" s="21">
        <v>-1.595518</v>
      </c>
      <c r="AE105" s="21">
        <v>103.646044</v>
      </c>
      <c r="AF105" s="21" t="s">
        <v>971</v>
      </c>
      <c r="AG105" s="21" t="s">
        <v>457</v>
      </c>
      <c r="AJ105" s="21" t="s">
        <v>457</v>
      </c>
      <c r="AK105" s="21" t="s">
        <v>974</v>
      </c>
      <c r="AL105" s="21" t="s">
        <v>975</v>
      </c>
      <c r="AR105" s="21" t="s">
        <v>62</v>
      </c>
    </row>
    <row r="106">
      <c r="A106" s="21" t="s">
        <v>453</v>
      </c>
      <c r="B106" s="21" t="s">
        <v>460</v>
      </c>
      <c r="C106" s="32" t="s">
        <v>455</v>
      </c>
      <c r="D106" s="21" t="s">
        <v>962</v>
      </c>
      <c r="E106" s="21" t="s">
        <v>456</v>
      </c>
      <c r="H106" s="21">
        <v>2.0</v>
      </c>
      <c r="I106" s="21" t="s">
        <v>979</v>
      </c>
      <c r="J106" s="21">
        <v>50.0</v>
      </c>
      <c r="K106" s="21" t="s">
        <v>334</v>
      </c>
      <c r="L106" s="21" t="s">
        <v>983</v>
      </c>
      <c r="N106" s="21" t="s">
        <v>80</v>
      </c>
      <c r="V106" s="21">
        <v>2011.0</v>
      </c>
      <c r="Z106" s="21" t="s">
        <v>458</v>
      </c>
      <c r="AA106" s="21" t="s">
        <v>1084</v>
      </c>
      <c r="AB106" s="21" t="s">
        <v>459</v>
      </c>
      <c r="AC106" s="21" t="s">
        <v>1085</v>
      </c>
      <c r="AD106" s="21">
        <v>-1.595518</v>
      </c>
      <c r="AE106" s="21">
        <v>103.646044</v>
      </c>
      <c r="AF106" s="21" t="s">
        <v>971</v>
      </c>
      <c r="AG106" s="21" t="s">
        <v>457</v>
      </c>
      <c r="AJ106" s="21" t="s">
        <v>457</v>
      </c>
      <c r="AK106" s="21" t="s">
        <v>974</v>
      </c>
      <c r="AL106" s="21" t="s">
        <v>975</v>
      </c>
      <c r="AR106" s="21" t="s">
        <v>62</v>
      </c>
    </row>
    <row r="107">
      <c r="A107" s="21" t="s">
        <v>467</v>
      </c>
      <c r="B107" s="21" t="s">
        <v>909</v>
      </c>
      <c r="C107" s="32" t="s">
        <v>469</v>
      </c>
      <c r="D107" s="21" t="s">
        <v>962</v>
      </c>
      <c r="E107" s="21" t="s">
        <v>470</v>
      </c>
      <c r="G107" s="21" t="s">
        <v>1035</v>
      </c>
      <c r="H107" s="21">
        <v>5.0</v>
      </c>
      <c r="I107" s="21" t="s">
        <v>979</v>
      </c>
      <c r="J107" s="21">
        <v>400.0</v>
      </c>
      <c r="K107" s="21" t="s">
        <v>904</v>
      </c>
      <c r="L107" s="21" t="s">
        <v>965</v>
      </c>
      <c r="N107" s="21" t="s">
        <v>80</v>
      </c>
      <c r="Z107" s="21" t="s">
        <v>472</v>
      </c>
      <c r="AA107" s="21" t="s">
        <v>1025</v>
      </c>
      <c r="AB107" s="21" t="s">
        <v>51</v>
      </c>
      <c r="AC107" s="21" t="s">
        <v>977</v>
      </c>
      <c r="AD107" s="21">
        <v>-7.209975</v>
      </c>
      <c r="AE107" s="21">
        <v>112.723895</v>
      </c>
      <c r="AF107" s="21" t="s">
        <v>971</v>
      </c>
      <c r="AG107" s="21" t="s">
        <v>471</v>
      </c>
      <c r="AJ107" s="21" t="s">
        <v>103</v>
      </c>
      <c r="AK107" s="21" t="s">
        <v>974</v>
      </c>
      <c r="AL107" s="21" t="s">
        <v>975</v>
      </c>
      <c r="AR107" s="21" t="s">
        <v>62</v>
      </c>
    </row>
    <row r="108">
      <c r="A108" s="21" t="s">
        <v>467</v>
      </c>
      <c r="B108" s="21" t="s">
        <v>468</v>
      </c>
      <c r="C108" s="32" t="s">
        <v>469</v>
      </c>
      <c r="D108" s="21" t="s">
        <v>962</v>
      </c>
      <c r="E108" s="21" t="s">
        <v>470</v>
      </c>
      <c r="G108" s="21" t="s">
        <v>1035</v>
      </c>
      <c r="H108" s="21">
        <v>3.0</v>
      </c>
      <c r="I108" s="21" t="s">
        <v>991</v>
      </c>
      <c r="J108" s="21">
        <v>50.0</v>
      </c>
      <c r="K108" s="21" t="s">
        <v>334</v>
      </c>
      <c r="L108" s="21" t="s">
        <v>1013</v>
      </c>
      <c r="N108" s="21" t="s">
        <v>80</v>
      </c>
      <c r="V108" s="21">
        <v>1978.0</v>
      </c>
      <c r="Z108" s="21" t="s">
        <v>472</v>
      </c>
      <c r="AA108" s="21" t="s">
        <v>1025</v>
      </c>
      <c r="AB108" s="21" t="s">
        <v>51</v>
      </c>
      <c r="AC108" s="21" t="s">
        <v>977</v>
      </c>
      <c r="AD108" s="21">
        <v>-7.209975</v>
      </c>
      <c r="AE108" s="21">
        <v>112.723895</v>
      </c>
      <c r="AF108" s="21" t="s">
        <v>971</v>
      </c>
      <c r="AG108" s="21" t="s">
        <v>471</v>
      </c>
      <c r="AJ108" s="21" t="s">
        <v>103</v>
      </c>
      <c r="AK108" s="21" t="s">
        <v>974</v>
      </c>
      <c r="AL108" s="21" t="s">
        <v>975</v>
      </c>
      <c r="AR108" s="21" t="s">
        <v>49</v>
      </c>
    </row>
    <row r="109">
      <c r="A109" s="21" t="s">
        <v>467</v>
      </c>
      <c r="B109" s="21" t="s">
        <v>474</v>
      </c>
      <c r="C109" s="32" t="s">
        <v>469</v>
      </c>
      <c r="D109" s="21" t="s">
        <v>962</v>
      </c>
      <c r="E109" s="21" t="s">
        <v>470</v>
      </c>
      <c r="G109" s="21" t="s">
        <v>1035</v>
      </c>
      <c r="H109" s="21">
        <v>4.0</v>
      </c>
      <c r="I109" s="21" t="s">
        <v>991</v>
      </c>
      <c r="J109" s="21">
        <v>50.0</v>
      </c>
      <c r="K109" s="21" t="s">
        <v>334</v>
      </c>
      <c r="L109" s="21" t="s">
        <v>1013</v>
      </c>
      <c r="N109" s="21" t="s">
        <v>80</v>
      </c>
      <c r="V109" s="21">
        <v>1978.0</v>
      </c>
      <c r="Z109" s="21" t="s">
        <v>472</v>
      </c>
      <c r="AA109" s="21" t="s">
        <v>1025</v>
      </c>
      <c r="AB109" s="21" t="s">
        <v>51</v>
      </c>
      <c r="AC109" s="21" t="s">
        <v>977</v>
      </c>
      <c r="AD109" s="21">
        <v>-7.209975</v>
      </c>
      <c r="AE109" s="21">
        <v>112.723895</v>
      </c>
      <c r="AF109" s="21" t="s">
        <v>971</v>
      </c>
      <c r="AG109" s="21" t="s">
        <v>471</v>
      </c>
      <c r="AJ109" s="21" t="s">
        <v>103</v>
      </c>
      <c r="AK109" s="21" t="s">
        <v>974</v>
      </c>
      <c r="AL109" s="21" t="s">
        <v>975</v>
      </c>
      <c r="AR109" s="21" t="s">
        <v>49</v>
      </c>
    </row>
    <row r="110">
      <c r="A110" s="21" t="s">
        <v>741</v>
      </c>
      <c r="B110" s="21" t="s">
        <v>742</v>
      </c>
      <c r="C110" s="32" t="s">
        <v>743</v>
      </c>
      <c r="D110" s="21" t="s">
        <v>962</v>
      </c>
      <c r="E110" s="21" t="s">
        <v>744</v>
      </c>
      <c r="H110" s="21">
        <v>1.0</v>
      </c>
      <c r="I110" s="21" t="s">
        <v>1086</v>
      </c>
      <c r="J110" s="21">
        <v>199.7</v>
      </c>
      <c r="K110" s="21" t="s">
        <v>334</v>
      </c>
      <c r="L110" s="21" t="s">
        <v>63</v>
      </c>
      <c r="N110" s="21" t="s">
        <v>80</v>
      </c>
      <c r="V110" s="21">
        <v>1989.0</v>
      </c>
      <c r="Z110" s="21" t="s">
        <v>472</v>
      </c>
      <c r="AA110" s="21" t="s">
        <v>1025</v>
      </c>
      <c r="AB110" s="21" t="s">
        <v>51</v>
      </c>
      <c r="AC110" s="21" t="s">
        <v>977</v>
      </c>
      <c r="AD110" s="21">
        <v>-8.71645</v>
      </c>
      <c r="AE110" s="21">
        <v>115.213325</v>
      </c>
      <c r="AF110" s="21" t="s">
        <v>971</v>
      </c>
      <c r="AG110" s="21" t="s">
        <v>435</v>
      </c>
      <c r="AI110" s="21" t="s">
        <v>1087</v>
      </c>
      <c r="AJ110" s="21" t="s">
        <v>229</v>
      </c>
      <c r="AK110" s="21" t="s">
        <v>974</v>
      </c>
      <c r="AL110" s="21" t="s">
        <v>975</v>
      </c>
      <c r="AR110" s="21" t="s">
        <v>49</v>
      </c>
    </row>
    <row r="111">
      <c r="A111" s="21" t="s">
        <v>443</v>
      </c>
      <c r="B111" s="21" t="s">
        <v>444</v>
      </c>
      <c r="C111" s="32" t="s">
        <v>445</v>
      </c>
      <c r="D111" s="21" t="s">
        <v>962</v>
      </c>
      <c r="E111" s="21" t="s">
        <v>446</v>
      </c>
      <c r="H111" s="21" t="s">
        <v>1088</v>
      </c>
      <c r="I111" s="21" t="s">
        <v>1089</v>
      </c>
      <c r="J111" s="21">
        <v>50.0</v>
      </c>
      <c r="K111" s="21" t="s">
        <v>334</v>
      </c>
      <c r="L111" s="21" t="s">
        <v>1013</v>
      </c>
      <c r="P111" s="21" t="s">
        <v>1018</v>
      </c>
      <c r="V111" s="21">
        <v>2007.0</v>
      </c>
      <c r="Z111" s="21" t="s">
        <v>450</v>
      </c>
      <c r="AA111" s="21" t="s">
        <v>1090</v>
      </c>
      <c r="AB111" s="21" t="s">
        <v>451</v>
      </c>
      <c r="AC111" s="21" t="s">
        <v>1091</v>
      </c>
      <c r="AD111" s="21">
        <v>-6.385474</v>
      </c>
      <c r="AE111" s="21">
        <v>107.343624</v>
      </c>
      <c r="AF111" s="21" t="s">
        <v>971</v>
      </c>
      <c r="AG111" s="21" t="s">
        <v>447</v>
      </c>
      <c r="AJ111" s="21" t="s">
        <v>448</v>
      </c>
      <c r="AK111" s="21" t="s">
        <v>974</v>
      </c>
      <c r="AL111" s="21" t="s">
        <v>975</v>
      </c>
      <c r="AP111" s="21" t="s">
        <v>449</v>
      </c>
      <c r="AR111" s="21" t="s">
        <v>49</v>
      </c>
    </row>
    <row r="112">
      <c r="A112" s="21" t="s">
        <v>826</v>
      </c>
      <c r="B112" s="21" t="s">
        <v>827</v>
      </c>
      <c r="C112" s="32" t="s">
        <v>828</v>
      </c>
      <c r="D112" s="21" t="s">
        <v>962</v>
      </c>
      <c r="E112" s="21" t="s">
        <v>829</v>
      </c>
      <c r="H112" s="21">
        <v>1.0</v>
      </c>
      <c r="I112" s="21" t="s">
        <v>964</v>
      </c>
      <c r="J112" s="21">
        <v>880.0</v>
      </c>
      <c r="K112" s="21" t="s">
        <v>334</v>
      </c>
      <c r="L112" s="21" t="s">
        <v>965</v>
      </c>
      <c r="N112" s="21" t="s">
        <v>80</v>
      </c>
      <c r="V112" s="21">
        <v>2024.0</v>
      </c>
      <c r="Z112" s="21" t="s">
        <v>831</v>
      </c>
      <c r="AA112" s="21" t="s">
        <v>1092</v>
      </c>
      <c r="AB112" s="21" t="s">
        <v>832</v>
      </c>
      <c r="AC112" s="21" t="s">
        <v>1093</v>
      </c>
      <c r="AD112" s="21">
        <v>-6.244232</v>
      </c>
      <c r="AE112" s="21">
        <v>107.588132</v>
      </c>
      <c r="AF112" s="21" t="s">
        <v>971</v>
      </c>
      <c r="AG112" s="21" t="s">
        <v>830</v>
      </c>
      <c r="AJ112" s="21" t="s">
        <v>448</v>
      </c>
      <c r="AK112" s="21" t="s">
        <v>974</v>
      </c>
      <c r="AL112" s="21" t="s">
        <v>975</v>
      </c>
      <c r="AR112" s="21" t="s">
        <v>328</v>
      </c>
    </row>
    <row r="113">
      <c r="A113" s="21" t="s">
        <v>826</v>
      </c>
      <c r="B113" s="21" t="s">
        <v>833</v>
      </c>
      <c r="C113" s="32" t="s">
        <v>828</v>
      </c>
      <c r="D113" s="21" t="s">
        <v>962</v>
      </c>
      <c r="E113" s="21" t="s">
        <v>829</v>
      </c>
      <c r="H113" s="21">
        <v>2.0</v>
      </c>
      <c r="I113" s="21" t="s">
        <v>964</v>
      </c>
      <c r="J113" s="21">
        <v>880.0</v>
      </c>
      <c r="K113" s="21" t="s">
        <v>334</v>
      </c>
      <c r="L113" s="21" t="s">
        <v>965</v>
      </c>
      <c r="N113" s="21" t="s">
        <v>80</v>
      </c>
      <c r="V113" s="21">
        <v>2024.0</v>
      </c>
      <c r="Z113" s="21" t="s">
        <v>831</v>
      </c>
      <c r="AA113" s="21" t="s">
        <v>1092</v>
      </c>
      <c r="AB113" s="21" t="s">
        <v>832</v>
      </c>
      <c r="AC113" s="21" t="s">
        <v>1093</v>
      </c>
      <c r="AD113" s="21">
        <v>-6.244232</v>
      </c>
      <c r="AE113" s="21">
        <v>107.588132</v>
      </c>
      <c r="AF113" s="21" t="s">
        <v>971</v>
      </c>
      <c r="AG113" s="21" t="s">
        <v>830</v>
      </c>
      <c r="AJ113" s="21" t="s">
        <v>448</v>
      </c>
      <c r="AK113" s="21" t="s">
        <v>974</v>
      </c>
      <c r="AL113" s="21" t="s">
        <v>975</v>
      </c>
      <c r="AR113" s="21" t="s">
        <v>328</v>
      </c>
    </row>
    <row r="114">
      <c r="A114" s="21" t="s">
        <v>769</v>
      </c>
      <c r="B114" s="21" t="s">
        <v>770</v>
      </c>
      <c r="C114" s="32" t="s">
        <v>771</v>
      </c>
      <c r="D114" s="21" t="s">
        <v>962</v>
      </c>
      <c r="E114" s="21" t="s">
        <v>772</v>
      </c>
      <c r="G114" s="21" t="s">
        <v>1094</v>
      </c>
      <c r="H114" s="21">
        <v>1.0</v>
      </c>
      <c r="I114" s="21" t="s">
        <v>979</v>
      </c>
      <c r="J114" s="21">
        <v>296.2</v>
      </c>
      <c r="K114" s="21" t="s">
        <v>334</v>
      </c>
      <c r="L114" s="21" t="s">
        <v>965</v>
      </c>
      <c r="N114" s="21" t="s">
        <v>80</v>
      </c>
      <c r="V114" s="21">
        <v>2022.0</v>
      </c>
      <c r="Z114" s="21" t="s">
        <v>774</v>
      </c>
      <c r="AA114" s="21" t="s">
        <v>1095</v>
      </c>
      <c r="AB114" s="21" t="s">
        <v>775</v>
      </c>
      <c r="AC114" s="21" t="s">
        <v>1096</v>
      </c>
      <c r="AD114" s="21">
        <v>0.539138</v>
      </c>
      <c r="AE114" s="21">
        <v>101.520131</v>
      </c>
      <c r="AF114" s="21" t="s">
        <v>971</v>
      </c>
      <c r="AG114" s="21" t="s">
        <v>372</v>
      </c>
      <c r="AJ114" s="21" t="s">
        <v>773</v>
      </c>
      <c r="AK114" s="21" t="s">
        <v>974</v>
      </c>
      <c r="AL114" s="21" t="s">
        <v>975</v>
      </c>
      <c r="AR114" s="21" t="s">
        <v>62</v>
      </c>
    </row>
    <row r="115">
      <c r="A115" s="21" t="s">
        <v>316</v>
      </c>
      <c r="B115" s="21" t="s">
        <v>317</v>
      </c>
      <c r="C115" s="32" t="s">
        <v>318</v>
      </c>
      <c r="D115" s="21" t="s">
        <v>962</v>
      </c>
      <c r="E115" s="21" t="s">
        <v>319</v>
      </c>
      <c r="H115" s="21">
        <v>1.0</v>
      </c>
      <c r="I115" s="21" t="s">
        <v>979</v>
      </c>
      <c r="J115" s="21">
        <v>250.0</v>
      </c>
      <c r="K115" s="21" t="s">
        <v>920</v>
      </c>
      <c r="L115" s="21" t="s">
        <v>965</v>
      </c>
      <c r="N115" s="21" t="s">
        <v>80</v>
      </c>
      <c r="O115" s="21" t="s">
        <v>80</v>
      </c>
      <c r="P115" s="21" t="s">
        <v>80</v>
      </c>
      <c r="V115" s="21">
        <v>2024.0</v>
      </c>
      <c r="AC115" s="21" t="s">
        <v>1097</v>
      </c>
      <c r="AD115" s="21">
        <v>1.63916</v>
      </c>
      <c r="AE115" s="21">
        <v>101.608757</v>
      </c>
      <c r="AF115" s="21" t="s">
        <v>982</v>
      </c>
      <c r="AG115" s="21" t="s">
        <v>80</v>
      </c>
      <c r="AJ115" s="21" t="s">
        <v>320</v>
      </c>
      <c r="AK115" s="21" t="s">
        <v>974</v>
      </c>
      <c r="AL115" s="21" t="s">
        <v>975</v>
      </c>
      <c r="AR115" s="21" t="s">
        <v>62</v>
      </c>
    </row>
    <row r="116">
      <c r="A116" s="21" t="s">
        <v>843</v>
      </c>
      <c r="B116" s="21" t="s">
        <v>844</v>
      </c>
      <c r="C116" s="32" t="s">
        <v>845</v>
      </c>
      <c r="D116" s="21" t="s">
        <v>962</v>
      </c>
      <c r="E116" s="21" t="s">
        <v>846</v>
      </c>
      <c r="H116" s="21">
        <v>1.0</v>
      </c>
      <c r="I116" s="21" t="s">
        <v>964</v>
      </c>
      <c r="J116" s="21">
        <v>200.0</v>
      </c>
      <c r="K116" s="21" t="s">
        <v>836</v>
      </c>
      <c r="L116" s="21" t="s">
        <v>63</v>
      </c>
      <c r="N116" s="21" t="s">
        <v>80</v>
      </c>
      <c r="V116" s="21">
        <v>2025.0</v>
      </c>
      <c r="Z116" s="21" t="s">
        <v>50</v>
      </c>
      <c r="AA116" s="21" t="s">
        <v>976</v>
      </c>
      <c r="AB116" s="21" t="s">
        <v>51</v>
      </c>
      <c r="AC116" s="21" t="s">
        <v>977</v>
      </c>
      <c r="AD116" s="21">
        <v>1.259602</v>
      </c>
      <c r="AE116" s="21">
        <v>101.212785</v>
      </c>
      <c r="AF116" s="21" t="s">
        <v>982</v>
      </c>
      <c r="AG116" s="21" t="s">
        <v>634</v>
      </c>
      <c r="AJ116" s="21" t="s">
        <v>320</v>
      </c>
      <c r="AK116" s="21" t="s">
        <v>974</v>
      </c>
      <c r="AL116" s="21" t="s">
        <v>975</v>
      </c>
      <c r="AR116" s="21" t="s">
        <v>328</v>
      </c>
    </row>
    <row r="117">
      <c r="A117" s="21" t="s">
        <v>776</v>
      </c>
      <c r="B117" s="21" t="s">
        <v>777</v>
      </c>
      <c r="C117" s="32" t="s">
        <v>778</v>
      </c>
      <c r="D117" s="21" t="s">
        <v>962</v>
      </c>
      <c r="E117" s="21" t="s">
        <v>779</v>
      </c>
      <c r="H117" s="21">
        <v>1.0</v>
      </c>
      <c r="I117" s="21" t="s">
        <v>1098</v>
      </c>
      <c r="J117" s="21">
        <v>300.0</v>
      </c>
      <c r="K117" s="21" t="s">
        <v>334</v>
      </c>
      <c r="L117" s="21" t="s">
        <v>965</v>
      </c>
      <c r="N117" s="21" t="s">
        <v>1076</v>
      </c>
      <c r="V117" s="21" t="s">
        <v>80</v>
      </c>
      <c r="Z117" s="21" t="s">
        <v>50</v>
      </c>
      <c r="AA117" s="21" t="s">
        <v>976</v>
      </c>
      <c r="AB117" s="21" t="s">
        <v>51</v>
      </c>
      <c r="AC117" s="21" t="s">
        <v>977</v>
      </c>
      <c r="AD117" s="21">
        <v>0.514049</v>
      </c>
      <c r="AE117" s="21">
        <v>100.447118</v>
      </c>
      <c r="AF117" s="21" t="s">
        <v>982</v>
      </c>
      <c r="AG117" s="21" t="s">
        <v>780</v>
      </c>
      <c r="AJ117" s="21" t="s">
        <v>320</v>
      </c>
      <c r="AK117" s="21" t="s">
        <v>974</v>
      </c>
      <c r="AL117" s="21" t="s">
        <v>975</v>
      </c>
      <c r="AR117" s="21" t="s">
        <v>62</v>
      </c>
    </row>
    <row r="118">
      <c r="A118" s="21" t="s">
        <v>689</v>
      </c>
      <c r="B118" s="21" t="s">
        <v>690</v>
      </c>
      <c r="C118" s="32" t="s">
        <v>691</v>
      </c>
      <c r="D118" s="21" t="s">
        <v>962</v>
      </c>
      <c r="E118" s="21" t="s">
        <v>692</v>
      </c>
      <c r="G118" s="21" t="s">
        <v>1099</v>
      </c>
      <c r="H118" s="56">
        <v>45658.0</v>
      </c>
      <c r="I118" s="21" t="s">
        <v>979</v>
      </c>
      <c r="J118" s="21">
        <v>135.0</v>
      </c>
      <c r="K118" s="21" t="s">
        <v>334</v>
      </c>
      <c r="L118" s="21" t="s">
        <v>965</v>
      </c>
      <c r="N118" s="21" t="s">
        <v>80</v>
      </c>
      <c r="V118" s="21">
        <v>1997.0</v>
      </c>
      <c r="Z118" s="21" t="s">
        <v>695</v>
      </c>
      <c r="AA118" s="21" t="s">
        <v>1100</v>
      </c>
      <c r="AB118" s="21" t="s">
        <v>696</v>
      </c>
      <c r="AC118" s="21" t="s">
        <v>1101</v>
      </c>
      <c r="AD118" s="21">
        <v>-4.175947</v>
      </c>
      <c r="AE118" s="21">
        <v>120.072159</v>
      </c>
      <c r="AF118" s="21" t="s">
        <v>971</v>
      </c>
      <c r="AG118" s="21" t="s">
        <v>693</v>
      </c>
      <c r="AJ118" s="21" t="s">
        <v>694</v>
      </c>
      <c r="AK118" s="21" t="s">
        <v>974</v>
      </c>
      <c r="AL118" s="21" t="s">
        <v>975</v>
      </c>
      <c r="AM118" s="21" t="s">
        <v>1102</v>
      </c>
      <c r="AR118" s="21" t="s">
        <v>62</v>
      </c>
    </row>
    <row r="119">
      <c r="A119" s="21" t="s">
        <v>689</v>
      </c>
      <c r="B119" s="21" t="s">
        <v>735</v>
      </c>
      <c r="C119" s="32" t="s">
        <v>691</v>
      </c>
      <c r="D119" s="21" t="s">
        <v>962</v>
      </c>
      <c r="E119" s="21" t="s">
        <v>692</v>
      </c>
      <c r="G119" s="21" t="s">
        <v>1099</v>
      </c>
      <c r="H119" s="56">
        <v>45659.0</v>
      </c>
      <c r="I119" s="21" t="s">
        <v>979</v>
      </c>
      <c r="J119" s="21">
        <v>180.0</v>
      </c>
      <c r="K119" s="21" t="s">
        <v>334</v>
      </c>
      <c r="L119" s="21" t="s">
        <v>965</v>
      </c>
      <c r="N119" s="21" t="s">
        <v>80</v>
      </c>
      <c r="V119" s="21">
        <v>2013.0</v>
      </c>
      <c r="Z119" s="21" t="s">
        <v>695</v>
      </c>
      <c r="AA119" s="21" t="s">
        <v>1100</v>
      </c>
      <c r="AB119" s="21" t="s">
        <v>696</v>
      </c>
      <c r="AC119" s="21" t="s">
        <v>1101</v>
      </c>
      <c r="AD119" s="21">
        <v>-4.175947</v>
      </c>
      <c r="AE119" s="21">
        <v>120.072159</v>
      </c>
      <c r="AF119" s="21" t="s">
        <v>971</v>
      </c>
      <c r="AG119" s="21" t="s">
        <v>693</v>
      </c>
      <c r="AJ119" s="21" t="s">
        <v>694</v>
      </c>
      <c r="AK119" s="21" t="s">
        <v>974</v>
      </c>
      <c r="AL119" s="21" t="s">
        <v>975</v>
      </c>
      <c r="AM119" s="21" t="s">
        <v>1102</v>
      </c>
      <c r="AR119" s="21" t="s">
        <v>62</v>
      </c>
    </row>
    <row r="120">
      <c r="A120" s="21" t="s">
        <v>642</v>
      </c>
      <c r="B120" s="21" t="s">
        <v>643</v>
      </c>
      <c r="C120" s="32" t="s">
        <v>644</v>
      </c>
      <c r="D120" s="21" t="s">
        <v>962</v>
      </c>
      <c r="E120" s="21" t="s">
        <v>645</v>
      </c>
      <c r="H120" s="21">
        <v>1.0</v>
      </c>
      <c r="I120" s="21" t="s">
        <v>1014</v>
      </c>
      <c r="J120" s="21">
        <v>117.0</v>
      </c>
      <c r="K120" s="21" t="s">
        <v>334</v>
      </c>
      <c r="L120" s="21" t="s">
        <v>965</v>
      </c>
      <c r="N120" s="21" t="s">
        <v>80</v>
      </c>
      <c r="V120" s="21">
        <v>2020.0</v>
      </c>
      <c r="Z120" s="21" t="s">
        <v>647</v>
      </c>
      <c r="AA120" s="21" t="s">
        <v>1103</v>
      </c>
      <c r="AB120" s="21" t="s">
        <v>648</v>
      </c>
      <c r="AC120" s="21" t="s">
        <v>1104</v>
      </c>
      <c r="AD120" s="21">
        <v>-0.987643</v>
      </c>
      <c r="AE120" s="21">
        <v>117.135578</v>
      </c>
      <c r="AF120" s="21" t="s">
        <v>971</v>
      </c>
      <c r="AG120" s="21" t="s">
        <v>646</v>
      </c>
      <c r="AJ120" s="21" t="s">
        <v>308</v>
      </c>
      <c r="AK120" s="21" t="s">
        <v>974</v>
      </c>
      <c r="AL120" s="21" t="s">
        <v>975</v>
      </c>
      <c r="AR120" s="21" t="s">
        <v>49</v>
      </c>
    </row>
    <row r="121">
      <c r="A121" s="21" t="s">
        <v>895</v>
      </c>
      <c r="B121" s="21" t="s">
        <v>896</v>
      </c>
      <c r="C121" s="32" t="s">
        <v>897</v>
      </c>
      <c r="D121" s="21" t="s">
        <v>962</v>
      </c>
      <c r="E121" s="21" t="s">
        <v>898</v>
      </c>
      <c r="H121" s="21">
        <v>1.0</v>
      </c>
      <c r="I121" s="21" t="s">
        <v>979</v>
      </c>
      <c r="J121" s="21">
        <v>60.0</v>
      </c>
      <c r="K121" s="21" t="s">
        <v>889</v>
      </c>
      <c r="L121" s="21" t="s">
        <v>983</v>
      </c>
      <c r="N121" s="21" t="s">
        <v>80</v>
      </c>
      <c r="Z121" s="21" t="s">
        <v>1105</v>
      </c>
      <c r="AA121" s="21" t="s">
        <v>1106</v>
      </c>
      <c r="AB121" s="21" t="s">
        <v>1107</v>
      </c>
      <c r="AC121" s="21" t="s">
        <v>1108</v>
      </c>
      <c r="AD121" s="21">
        <v>-6.127523</v>
      </c>
      <c r="AE121" s="21">
        <v>106.651517</v>
      </c>
      <c r="AF121" s="21" t="s">
        <v>982</v>
      </c>
      <c r="AG121" s="21" t="s">
        <v>899</v>
      </c>
      <c r="AJ121" s="21" t="s">
        <v>87</v>
      </c>
      <c r="AK121" s="21" t="s">
        <v>974</v>
      </c>
      <c r="AL121" s="21" t="s">
        <v>975</v>
      </c>
      <c r="AR121" s="21" t="s">
        <v>62</v>
      </c>
    </row>
    <row r="122">
      <c r="A122" s="21" t="s">
        <v>928</v>
      </c>
      <c r="B122" s="21" t="s">
        <v>929</v>
      </c>
      <c r="C122" s="32" t="s">
        <v>930</v>
      </c>
      <c r="D122" s="21" t="s">
        <v>962</v>
      </c>
      <c r="E122" s="21" t="s">
        <v>931</v>
      </c>
      <c r="H122" s="21">
        <v>1.0</v>
      </c>
      <c r="I122" s="21" t="s">
        <v>964</v>
      </c>
      <c r="J122" s="21">
        <v>800.0</v>
      </c>
      <c r="K122" s="21" t="s">
        <v>927</v>
      </c>
      <c r="L122" s="21" t="s">
        <v>274</v>
      </c>
      <c r="M122" s="21" t="s">
        <v>80</v>
      </c>
      <c r="N122" s="21" t="s">
        <v>80</v>
      </c>
      <c r="Z122" s="21" t="s">
        <v>1109</v>
      </c>
      <c r="AA122" s="21" t="s">
        <v>1110</v>
      </c>
      <c r="AB122" s="21" t="s">
        <v>1109</v>
      </c>
      <c r="AC122" s="21" t="s">
        <v>1110</v>
      </c>
      <c r="AD122" s="21">
        <v>-7.035171</v>
      </c>
      <c r="AE122" s="21">
        <v>106.549147</v>
      </c>
      <c r="AF122" s="21" t="s">
        <v>982</v>
      </c>
      <c r="AJ122" s="21" t="s">
        <v>448</v>
      </c>
      <c r="AK122" s="21" t="s">
        <v>974</v>
      </c>
      <c r="AL122" s="21" t="s">
        <v>975</v>
      </c>
      <c r="AR122" s="21" t="s">
        <v>328</v>
      </c>
    </row>
    <row r="123">
      <c r="A123" s="21" t="s">
        <v>928</v>
      </c>
      <c r="B123" s="21" t="s">
        <v>932</v>
      </c>
      <c r="C123" s="32" t="s">
        <v>930</v>
      </c>
      <c r="D123" s="21" t="s">
        <v>962</v>
      </c>
      <c r="E123" s="21" t="s">
        <v>931</v>
      </c>
      <c r="H123" s="21">
        <v>2.0</v>
      </c>
      <c r="I123" s="21" t="s">
        <v>964</v>
      </c>
      <c r="J123" s="21">
        <v>800.0</v>
      </c>
      <c r="K123" s="21" t="s">
        <v>927</v>
      </c>
      <c r="L123" s="21" t="s">
        <v>274</v>
      </c>
      <c r="M123" s="21" t="s">
        <v>80</v>
      </c>
      <c r="N123" s="21" t="s">
        <v>80</v>
      </c>
      <c r="Z123" s="21" t="s">
        <v>1109</v>
      </c>
      <c r="AA123" s="21" t="s">
        <v>1110</v>
      </c>
      <c r="AB123" s="21" t="s">
        <v>1109</v>
      </c>
      <c r="AC123" s="21" t="s">
        <v>1110</v>
      </c>
      <c r="AD123" s="21">
        <v>-7.035171</v>
      </c>
      <c r="AE123" s="21">
        <v>106.549147</v>
      </c>
      <c r="AF123" s="21" t="s">
        <v>982</v>
      </c>
      <c r="AJ123" s="21" t="s">
        <v>448</v>
      </c>
      <c r="AK123" s="21" t="s">
        <v>974</v>
      </c>
      <c r="AL123" s="21" t="s">
        <v>975</v>
      </c>
      <c r="AR123" s="21" t="s">
        <v>328</v>
      </c>
    </row>
    <row r="124">
      <c r="A124" s="21" t="s">
        <v>928</v>
      </c>
      <c r="B124" s="21" t="s">
        <v>933</v>
      </c>
      <c r="C124" s="32" t="s">
        <v>930</v>
      </c>
      <c r="D124" s="21" t="s">
        <v>962</v>
      </c>
      <c r="E124" s="21" t="s">
        <v>931</v>
      </c>
      <c r="H124" s="21">
        <v>3.0</v>
      </c>
      <c r="I124" s="21" t="s">
        <v>964</v>
      </c>
      <c r="J124" s="21">
        <v>800.0</v>
      </c>
      <c r="K124" s="21" t="s">
        <v>927</v>
      </c>
      <c r="L124" s="21" t="s">
        <v>274</v>
      </c>
      <c r="M124" s="21" t="s">
        <v>80</v>
      </c>
      <c r="N124" s="21" t="s">
        <v>80</v>
      </c>
      <c r="Z124" s="21" t="s">
        <v>1109</v>
      </c>
      <c r="AA124" s="21" t="s">
        <v>1110</v>
      </c>
      <c r="AB124" s="21" t="s">
        <v>1109</v>
      </c>
      <c r="AC124" s="21" t="s">
        <v>1110</v>
      </c>
      <c r="AD124" s="21">
        <v>-7.035171</v>
      </c>
      <c r="AE124" s="21">
        <v>106.549147</v>
      </c>
      <c r="AF124" s="21" t="s">
        <v>982</v>
      </c>
      <c r="AJ124" s="21" t="s">
        <v>448</v>
      </c>
      <c r="AK124" s="21" t="s">
        <v>974</v>
      </c>
      <c r="AL124" s="21" t="s">
        <v>975</v>
      </c>
      <c r="AR124" s="21" t="s">
        <v>328</v>
      </c>
    </row>
    <row r="125">
      <c r="A125" s="21" t="s">
        <v>64</v>
      </c>
      <c r="B125" s="21" t="s">
        <v>65</v>
      </c>
      <c r="C125" s="32" t="s">
        <v>66</v>
      </c>
      <c r="D125" s="21" t="s">
        <v>962</v>
      </c>
      <c r="E125" s="21" t="s">
        <v>67</v>
      </c>
      <c r="H125" s="21">
        <v>1.0</v>
      </c>
      <c r="I125" s="21" t="s">
        <v>1014</v>
      </c>
      <c r="J125" s="21">
        <v>150.0</v>
      </c>
      <c r="K125" s="21" t="s">
        <v>920</v>
      </c>
      <c r="L125" s="21" t="s">
        <v>965</v>
      </c>
      <c r="N125" s="21" t="s">
        <v>80</v>
      </c>
      <c r="O125" s="21" t="s">
        <v>80</v>
      </c>
      <c r="P125" s="21" t="s">
        <v>80</v>
      </c>
      <c r="Z125" s="21" t="s">
        <v>50</v>
      </c>
      <c r="AA125" s="21" t="s">
        <v>976</v>
      </c>
      <c r="AB125" s="21" t="s">
        <v>51</v>
      </c>
      <c r="AC125" s="21" t="s">
        <v>977</v>
      </c>
      <c r="AD125" s="21">
        <v>1.657387</v>
      </c>
      <c r="AE125" s="21">
        <v>125.088874</v>
      </c>
      <c r="AF125" s="21" t="s">
        <v>982</v>
      </c>
      <c r="AG125" s="21" t="s">
        <v>80</v>
      </c>
      <c r="AJ125" s="21" t="s">
        <v>666</v>
      </c>
      <c r="AK125" s="21" t="s">
        <v>974</v>
      </c>
      <c r="AL125" s="21" t="s">
        <v>975</v>
      </c>
      <c r="AR125" s="21" t="s">
        <v>49</v>
      </c>
    </row>
    <row r="126">
      <c r="A126" s="21" t="s">
        <v>922</v>
      </c>
      <c r="B126" s="21" t="s">
        <v>923</v>
      </c>
      <c r="C126" s="32" t="s">
        <v>924</v>
      </c>
      <c r="D126" s="21" t="s">
        <v>962</v>
      </c>
      <c r="E126" s="21" t="s">
        <v>925</v>
      </c>
      <c r="H126" s="21">
        <v>1.0</v>
      </c>
      <c r="I126" s="21" t="s">
        <v>979</v>
      </c>
      <c r="J126" s="21">
        <v>450.0</v>
      </c>
      <c r="K126" s="21" t="s">
        <v>920</v>
      </c>
      <c r="L126" s="21" t="s">
        <v>965</v>
      </c>
      <c r="N126" s="21" t="s">
        <v>80</v>
      </c>
      <c r="O126" s="21" t="s">
        <v>80</v>
      </c>
      <c r="P126" s="21" t="s">
        <v>80</v>
      </c>
      <c r="Z126" s="21" t="s">
        <v>50</v>
      </c>
      <c r="AA126" s="21" t="s">
        <v>976</v>
      </c>
      <c r="AB126" s="21" t="s">
        <v>51</v>
      </c>
      <c r="AC126" s="21" t="s">
        <v>977</v>
      </c>
      <c r="AD126" s="21">
        <v>-4.935711</v>
      </c>
      <c r="AE126" s="21">
        <v>119.523105</v>
      </c>
      <c r="AF126" s="21" t="s">
        <v>982</v>
      </c>
      <c r="AG126" s="21" t="s">
        <v>80</v>
      </c>
      <c r="AJ126" s="21" t="s">
        <v>694</v>
      </c>
      <c r="AK126" s="21" t="s">
        <v>974</v>
      </c>
      <c r="AL126" s="21" t="s">
        <v>975</v>
      </c>
      <c r="AR126" s="21" t="s">
        <v>62</v>
      </c>
    </row>
    <row r="127">
      <c r="A127" s="21" t="s">
        <v>91</v>
      </c>
      <c r="B127" s="21" t="s">
        <v>92</v>
      </c>
      <c r="C127" s="32" t="s">
        <v>93</v>
      </c>
      <c r="D127" s="21" t="s">
        <v>962</v>
      </c>
      <c r="E127" s="21" t="s">
        <v>94</v>
      </c>
      <c r="F127" s="21" t="s">
        <v>1111</v>
      </c>
      <c r="G127" s="21" t="s">
        <v>1112</v>
      </c>
      <c r="H127" s="21">
        <v>1.0</v>
      </c>
      <c r="I127" s="21" t="s">
        <v>979</v>
      </c>
      <c r="J127" s="21">
        <v>200.0</v>
      </c>
      <c r="K127" s="21" t="s">
        <v>45</v>
      </c>
      <c r="L127" s="21" t="s">
        <v>965</v>
      </c>
      <c r="N127" s="21" t="s">
        <v>80</v>
      </c>
      <c r="O127" s="21" t="s">
        <v>80</v>
      </c>
      <c r="P127" s="21" t="s">
        <v>80</v>
      </c>
      <c r="V127" s="21">
        <v>2030.0</v>
      </c>
      <c r="Z127" s="21" t="s">
        <v>97</v>
      </c>
      <c r="AA127" s="21" t="s">
        <v>1038</v>
      </c>
      <c r="AB127" s="21" t="s">
        <v>51</v>
      </c>
      <c r="AC127" s="21" t="s">
        <v>977</v>
      </c>
      <c r="AD127" s="21">
        <v>3.760031</v>
      </c>
      <c r="AE127" s="21">
        <v>98.745965</v>
      </c>
      <c r="AF127" s="21" t="s">
        <v>982</v>
      </c>
      <c r="AG127" s="21" t="s">
        <v>95</v>
      </c>
      <c r="AJ127" s="21" t="s">
        <v>96</v>
      </c>
      <c r="AK127" s="21" t="s">
        <v>974</v>
      </c>
      <c r="AL127" s="21" t="s">
        <v>975</v>
      </c>
      <c r="AR127" s="21" t="s">
        <v>62</v>
      </c>
    </row>
    <row r="128">
      <c r="A128" s="21" t="s">
        <v>91</v>
      </c>
      <c r="B128" s="21" t="s">
        <v>104</v>
      </c>
      <c r="C128" s="32" t="s">
        <v>93</v>
      </c>
      <c r="D128" s="21" t="s">
        <v>962</v>
      </c>
      <c r="E128" s="21" t="s">
        <v>94</v>
      </c>
      <c r="F128" s="21" t="s">
        <v>1111</v>
      </c>
      <c r="G128" s="21" t="s">
        <v>1112</v>
      </c>
      <c r="H128" s="21">
        <v>3.0</v>
      </c>
      <c r="I128" s="21" t="s">
        <v>979</v>
      </c>
      <c r="J128" s="21">
        <v>300.0</v>
      </c>
      <c r="K128" s="21" t="s">
        <v>45</v>
      </c>
      <c r="L128" s="21" t="s">
        <v>965</v>
      </c>
      <c r="N128" s="21" t="s">
        <v>80</v>
      </c>
      <c r="O128" s="21" t="s">
        <v>80</v>
      </c>
      <c r="P128" s="21" t="s">
        <v>80</v>
      </c>
      <c r="V128" s="21">
        <v>2030.0</v>
      </c>
      <c r="Z128" s="21" t="s">
        <v>97</v>
      </c>
      <c r="AA128" s="21" t="s">
        <v>1038</v>
      </c>
      <c r="AB128" s="21" t="s">
        <v>51</v>
      </c>
      <c r="AC128" s="21" t="s">
        <v>977</v>
      </c>
      <c r="AD128" s="21">
        <v>3.760031</v>
      </c>
      <c r="AE128" s="21">
        <v>98.745965</v>
      </c>
      <c r="AF128" s="21" t="s">
        <v>982</v>
      </c>
      <c r="AG128" s="21" t="s">
        <v>95</v>
      </c>
      <c r="AJ128" s="21" t="s">
        <v>96</v>
      </c>
      <c r="AK128" s="21" t="s">
        <v>974</v>
      </c>
      <c r="AL128" s="21" t="s">
        <v>975</v>
      </c>
      <c r="AR128" s="21" t="s">
        <v>62</v>
      </c>
    </row>
    <row r="129">
      <c r="A129" s="21" t="s">
        <v>91</v>
      </c>
      <c r="B129" s="21" t="s">
        <v>105</v>
      </c>
      <c r="C129" s="32" t="s">
        <v>93</v>
      </c>
      <c r="D129" s="21" t="s">
        <v>962</v>
      </c>
      <c r="E129" s="21" t="s">
        <v>94</v>
      </c>
      <c r="F129" s="21" t="s">
        <v>1111</v>
      </c>
      <c r="G129" s="21" t="s">
        <v>1112</v>
      </c>
      <c r="H129" s="21">
        <v>4.0</v>
      </c>
      <c r="I129" s="21" t="s">
        <v>979</v>
      </c>
      <c r="J129" s="21">
        <v>300.0</v>
      </c>
      <c r="K129" s="21" t="s">
        <v>45</v>
      </c>
      <c r="L129" s="21" t="s">
        <v>965</v>
      </c>
      <c r="N129" s="21" t="s">
        <v>80</v>
      </c>
      <c r="O129" s="21" t="s">
        <v>80</v>
      </c>
      <c r="P129" s="21" t="s">
        <v>80</v>
      </c>
      <c r="V129" s="21">
        <v>2030.0</v>
      </c>
      <c r="Z129" s="21" t="s">
        <v>97</v>
      </c>
      <c r="AA129" s="21" t="s">
        <v>1038</v>
      </c>
      <c r="AB129" s="21" t="s">
        <v>51</v>
      </c>
      <c r="AC129" s="21" t="s">
        <v>977</v>
      </c>
      <c r="AD129" s="21">
        <v>3.760031</v>
      </c>
      <c r="AE129" s="21">
        <v>98.745965</v>
      </c>
      <c r="AF129" s="21" t="s">
        <v>982</v>
      </c>
      <c r="AG129" s="21" t="s">
        <v>95</v>
      </c>
      <c r="AJ129" s="21" t="s">
        <v>96</v>
      </c>
      <c r="AK129" s="21" t="s">
        <v>974</v>
      </c>
      <c r="AL129" s="21" t="s">
        <v>975</v>
      </c>
      <c r="AR129" s="21" t="s">
        <v>62</v>
      </c>
    </row>
    <row r="130">
      <c r="A130" s="21" t="s">
        <v>475</v>
      </c>
      <c r="B130" s="21" t="s">
        <v>476</v>
      </c>
      <c r="C130" s="32" t="s">
        <v>477</v>
      </c>
      <c r="D130" s="21" t="s">
        <v>962</v>
      </c>
      <c r="E130" s="21" t="s">
        <v>478</v>
      </c>
      <c r="H130" s="21">
        <v>1.0</v>
      </c>
      <c r="I130" s="21" t="s">
        <v>979</v>
      </c>
      <c r="J130" s="21">
        <v>50.0</v>
      </c>
      <c r="K130" s="21" t="s">
        <v>334</v>
      </c>
      <c r="L130" s="21" t="s">
        <v>63</v>
      </c>
      <c r="N130" s="21" t="s">
        <v>80</v>
      </c>
      <c r="V130" s="21" t="s">
        <v>80</v>
      </c>
      <c r="Z130" s="21" t="s">
        <v>50</v>
      </c>
      <c r="AA130" s="21" t="s">
        <v>976</v>
      </c>
      <c r="AB130" s="21" t="s">
        <v>51</v>
      </c>
      <c r="AC130" s="21" t="s">
        <v>977</v>
      </c>
      <c r="AD130" s="21">
        <v>-8.484007</v>
      </c>
      <c r="AE130" s="21">
        <v>117.364867</v>
      </c>
      <c r="AF130" s="21" t="s">
        <v>982</v>
      </c>
      <c r="AG130" s="21" t="s">
        <v>479</v>
      </c>
      <c r="AI130" s="21" t="s">
        <v>1113</v>
      </c>
      <c r="AJ130" s="21" t="s">
        <v>326</v>
      </c>
      <c r="AK130" s="21" t="s">
        <v>974</v>
      </c>
      <c r="AL130" s="21" t="s">
        <v>975</v>
      </c>
      <c r="AR130" s="21" t="s">
        <v>62</v>
      </c>
    </row>
    <row r="131">
      <c r="A131" s="21" t="s">
        <v>625</v>
      </c>
      <c r="B131" s="21" t="s">
        <v>626</v>
      </c>
      <c r="C131" s="32" t="s">
        <v>627</v>
      </c>
      <c r="D131" s="21" t="s">
        <v>962</v>
      </c>
      <c r="E131" s="21" t="s">
        <v>628</v>
      </c>
      <c r="H131" s="21">
        <v>1.0</v>
      </c>
      <c r="I131" s="21" t="s">
        <v>979</v>
      </c>
      <c r="J131" s="21">
        <v>110.0</v>
      </c>
      <c r="K131" s="21" t="s">
        <v>334</v>
      </c>
      <c r="L131" s="21" t="s">
        <v>63</v>
      </c>
      <c r="N131" s="21" t="s">
        <v>80</v>
      </c>
      <c r="V131" s="21" t="s">
        <v>80</v>
      </c>
      <c r="Z131" s="21" t="s">
        <v>50</v>
      </c>
      <c r="AA131" s="21" t="s">
        <v>976</v>
      </c>
      <c r="AB131" s="21" t="s">
        <v>51</v>
      </c>
      <c r="AC131" s="21" t="s">
        <v>977</v>
      </c>
      <c r="AD131" s="21">
        <v>-1.673906</v>
      </c>
      <c r="AE131" s="21">
        <v>103.678081</v>
      </c>
      <c r="AF131" s="21" t="s">
        <v>971</v>
      </c>
      <c r="AG131" s="21" t="s">
        <v>629</v>
      </c>
      <c r="AJ131" s="21" t="s">
        <v>457</v>
      </c>
      <c r="AK131" s="21" t="s">
        <v>974</v>
      </c>
      <c r="AL131" s="21" t="s">
        <v>975</v>
      </c>
      <c r="AR131" s="21" t="s">
        <v>62</v>
      </c>
    </row>
    <row r="132">
      <c r="A132" s="21" t="s">
        <v>481</v>
      </c>
      <c r="B132" s="21" t="s">
        <v>805</v>
      </c>
      <c r="C132" s="32" t="s">
        <v>483</v>
      </c>
      <c r="D132" s="21" t="s">
        <v>962</v>
      </c>
      <c r="E132" s="21" t="s">
        <v>484</v>
      </c>
      <c r="G132" s="21" t="s">
        <v>1114</v>
      </c>
      <c r="H132" s="21" t="s">
        <v>963</v>
      </c>
      <c r="I132" s="21" t="s">
        <v>991</v>
      </c>
      <c r="J132" s="21">
        <v>517.0</v>
      </c>
      <c r="K132" s="21" t="s">
        <v>334</v>
      </c>
      <c r="L132" s="21" t="s">
        <v>965</v>
      </c>
      <c r="N132" s="21" t="s">
        <v>80</v>
      </c>
      <c r="V132" s="21">
        <v>1993.0</v>
      </c>
      <c r="Z132" s="21" t="s">
        <v>472</v>
      </c>
      <c r="AA132" s="21" t="s">
        <v>1025</v>
      </c>
      <c r="AB132" s="21" t="s">
        <v>51</v>
      </c>
      <c r="AC132" s="21" t="s">
        <v>977</v>
      </c>
      <c r="AD132" s="21">
        <v>-6.9505</v>
      </c>
      <c r="AE132" s="21">
        <v>110.434</v>
      </c>
      <c r="AF132" s="21" t="s">
        <v>971</v>
      </c>
      <c r="AG132" s="21" t="s">
        <v>485</v>
      </c>
      <c r="AJ132" s="21" t="s">
        <v>486</v>
      </c>
      <c r="AK132" s="21" t="s">
        <v>974</v>
      </c>
      <c r="AL132" s="21" t="s">
        <v>975</v>
      </c>
      <c r="AM132" s="21" t="s">
        <v>1115</v>
      </c>
      <c r="AR132" s="21" t="s">
        <v>49</v>
      </c>
    </row>
    <row r="133">
      <c r="A133" s="21" t="s">
        <v>481</v>
      </c>
      <c r="B133" s="21" t="s">
        <v>806</v>
      </c>
      <c r="C133" s="32" t="s">
        <v>483</v>
      </c>
      <c r="D133" s="21" t="s">
        <v>962</v>
      </c>
      <c r="E133" s="21" t="s">
        <v>484</v>
      </c>
      <c r="G133" s="21" t="s">
        <v>1114</v>
      </c>
      <c r="H133" s="21" t="s">
        <v>1040</v>
      </c>
      <c r="I133" s="21" t="s">
        <v>991</v>
      </c>
      <c r="J133" s="21">
        <v>517.0</v>
      </c>
      <c r="K133" s="21" t="s">
        <v>334</v>
      </c>
      <c r="L133" s="21" t="s">
        <v>965</v>
      </c>
      <c r="N133" s="21" t="s">
        <v>80</v>
      </c>
      <c r="V133" s="21">
        <v>1997.0</v>
      </c>
      <c r="Z133" s="21" t="s">
        <v>472</v>
      </c>
      <c r="AA133" s="21" t="s">
        <v>1025</v>
      </c>
      <c r="AB133" s="21" t="s">
        <v>51</v>
      </c>
      <c r="AC133" s="21" t="s">
        <v>977</v>
      </c>
      <c r="AD133" s="21">
        <v>-6.9505</v>
      </c>
      <c r="AE133" s="21">
        <v>110.434</v>
      </c>
      <c r="AF133" s="21" t="s">
        <v>971</v>
      </c>
      <c r="AG133" s="21" t="s">
        <v>485</v>
      </c>
      <c r="AJ133" s="21" t="s">
        <v>486</v>
      </c>
      <c r="AK133" s="21" t="s">
        <v>974</v>
      </c>
      <c r="AL133" s="21" t="s">
        <v>975</v>
      </c>
      <c r="AM133" s="21" t="s">
        <v>1115</v>
      </c>
      <c r="AR133" s="21" t="s">
        <v>49</v>
      </c>
    </row>
    <row r="134">
      <c r="A134" s="21" t="s">
        <v>481</v>
      </c>
      <c r="B134" s="21" t="s">
        <v>825</v>
      </c>
      <c r="C134" s="32" t="s">
        <v>483</v>
      </c>
      <c r="D134" s="21" t="s">
        <v>962</v>
      </c>
      <c r="E134" s="21" t="s">
        <v>484</v>
      </c>
      <c r="G134" s="21" t="s">
        <v>1114</v>
      </c>
      <c r="H134" s="21" t="s">
        <v>1041</v>
      </c>
      <c r="I134" s="21" t="s">
        <v>979</v>
      </c>
      <c r="J134" s="21">
        <v>780.0</v>
      </c>
      <c r="K134" s="21" t="s">
        <v>334</v>
      </c>
      <c r="L134" s="21" t="s">
        <v>965</v>
      </c>
      <c r="M134" s="21" t="s">
        <v>1116</v>
      </c>
      <c r="N134" s="21" t="s">
        <v>80</v>
      </c>
      <c r="V134" s="21">
        <v>2024.0</v>
      </c>
      <c r="Z134" s="21" t="s">
        <v>472</v>
      </c>
      <c r="AA134" s="21" t="s">
        <v>1025</v>
      </c>
      <c r="AB134" s="21" t="s">
        <v>51</v>
      </c>
      <c r="AC134" s="21" t="s">
        <v>977</v>
      </c>
      <c r="AD134" s="21">
        <v>-6.9505</v>
      </c>
      <c r="AE134" s="21">
        <v>110.434</v>
      </c>
      <c r="AF134" s="21" t="s">
        <v>971</v>
      </c>
      <c r="AG134" s="21" t="s">
        <v>485</v>
      </c>
      <c r="AJ134" s="21" t="s">
        <v>486</v>
      </c>
      <c r="AK134" s="21" t="s">
        <v>974</v>
      </c>
      <c r="AL134" s="21" t="s">
        <v>975</v>
      </c>
      <c r="AM134" s="21" t="s">
        <v>1115</v>
      </c>
      <c r="AR134" s="21" t="s">
        <v>62</v>
      </c>
    </row>
    <row r="135">
      <c r="A135" s="21" t="s">
        <v>481</v>
      </c>
      <c r="B135" s="21" t="s">
        <v>482</v>
      </c>
      <c r="C135" s="32" t="s">
        <v>483</v>
      </c>
      <c r="D135" s="21" t="s">
        <v>962</v>
      </c>
      <c r="E135" s="21" t="s">
        <v>484</v>
      </c>
      <c r="G135" s="21" t="s">
        <v>1114</v>
      </c>
      <c r="H135" s="21" t="s">
        <v>1042</v>
      </c>
      <c r="I135" s="21" t="s">
        <v>1008</v>
      </c>
      <c r="J135" s="21">
        <v>50.0</v>
      </c>
      <c r="K135" s="21" t="s">
        <v>334</v>
      </c>
      <c r="L135" s="21" t="s">
        <v>1013</v>
      </c>
      <c r="N135" s="21" t="s">
        <v>80</v>
      </c>
      <c r="V135" s="21" t="s">
        <v>80</v>
      </c>
      <c r="Z135" s="21" t="s">
        <v>472</v>
      </c>
      <c r="AA135" s="21" t="s">
        <v>1025</v>
      </c>
      <c r="AB135" s="21" t="s">
        <v>51</v>
      </c>
      <c r="AC135" s="21" t="s">
        <v>977</v>
      </c>
      <c r="AD135" s="21">
        <v>-6.9505</v>
      </c>
      <c r="AE135" s="21">
        <v>110.434</v>
      </c>
      <c r="AF135" s="21" t="s">
        <v>971</v>
      </c>
      <c r="AG135" s="21" t="s">
        <v>485</v>
      </c>
      <c r="AJ135" s="21" t="s">
        <v>486</v>
      </c>
      <c r="AK135" s="21" t="s">
        <v>974</v>
      </c>
      <c r="AL135" s="21" t="s">
        <v>975</v>
      </c>
      <c r="AM135" s="21" t="s">
        <v>1115</v>
      </c>
      <c r="AR135" s="21" t="s">
        <v>487</v>
      </c>
    </row>
    <row r="136">
      <c r="A136" s="21" t="s">
        <v>481</v>
      </c>
      <c r="B136" s="21" t="s">
        <v>488</v>
      </c>
      <c r="C136" s="32" t="s">
        <v>483</v>
      </c>
      <c r="D136" s="21" t="s">
        <v>962</v>
      </c>
      <c r="E136" s="21" t="s">
        <v>484</v>
      </c>
      <c r="G136" s="21" t="s">
        <v>1114</v>
      </c>
      <c r="H136" s="21" t="s">
        <v>1043</v>
      </c>
      <c r="I136" s="21" t="s">
        <v>1008</v>
      </c>
      <c r="J136" s="21">
        <v>50.0</v>
      </c>
      <c r="K136" s="21" t="s">
        <v>334</v>
      </c>
      <c r="L136" s="21" t="s">
        <v>1013</v>
      </c>
      <c r="N136" s="21" t="s">
        <v>80</v>
      </c>
      <c r="V136" s="21" t="s">
        <v>80</v>
      </c>
      <c r="Z136" s="21" t="s">
        <v>472</v>
      </c>
      <c r="AA136" s="21" t="s">
        <v>1025</v>
      </c>
      <c r="AB136" s="21" t="s">
        <v>51</v>
      </c>
      <c r="AC136" s="21" t="s">
        <v>977</v>
      </c>
      <c r="AD136" s="21">
        <v>-6.9505</v>
      </c>
      <c r="AE136" s="21">
        <v>110.434</v>
      </c>
      <c r="AF136" s="21" t="s">
        <v>971</v>
      </c>
      <c r="AG136" s="21" t="s">
        <v>485</v>
      </c>
      <c r="AJ136" s="21" t="s">
        <v>486</v>
      </c>
      <c r="AK136" s="21" t="s">
        <v>974</v>
      </c>
      <c r="AL136" s="21" t="s">
        <v>975</v>
      </c>
      <c r="AM136" s="21" t="s">
        <v>1115</v>
      </c>
      <c r="AR136" s="21" t="s">
        <v>487</v>
      </c>
    </row>
    <row r="137">
      <c r="A137" s="21" t="s">
        <v>481</v>
      </c>
      <c r="B137" s="21" t="s">
        <v>759</v>
      </c>
      <c r="C137" s="32" t="s">
        <v>483</v>
      </c>
      <c r="D137" s="21" t="s">
        <v>962</v>
      </c>
      <c r="E137" s="21" t="s">
        <v>484</v>
      </c>
      <c r="G137" s="21" t="s">
        <v>1114</v>
      </c>
      <c r="H137" s="21" t="s">
        <v>1044</v>
      </c>
      <c r="I137" s="21" t="s">
        <v>1008</v>
      </c>
      <c r="J137" s="21">
        <v>200.0</v>
      </c>
      <c r="K137" s="21" t="s">
        <v>334</v>
      </c>
      <c r="L137" s="21" t="s">
        <v>1013</v>
      </c>
      <c r="N137" s="21" t="s">
        <v>80</v>
      </c>
      <c r="V137" s="21" t="s">
        <v>80</v>
      </c>
      <c r="Z137" s="21" t="s">
        <v>472</v>
      </c>
      <c r="AA137" s="21" t="s">
        <v>1025</v>
      </c>
      <c r="AB137" s="21" t="s">
        <v>51</v>
      </c>
      <c r="AC137" s="21" t="s">
        <v>977</v>
      </c>
      <c r="AD137" s="21">
        <v>-6.9505</v>
      </c>
      <c r="AE137" s="21">
        <v>110.434</v>
      </c>
      <c r="AF137" s="21" t="s">
        <v>971</v>
      </c>
      <c r="AG137" s="21" t="s">
        <v>485</v>
      </c>
      <c r="AJ137" s="21" t="s">
        <v>486</v>
      </c>
      <c r="AK137" s="21" t="s">
        <v>974</v>
      </c>
      <c r="AL137" s="21" t="s">
        <v>975</v>
      </c>
      <c r="AM137" s="21" t="s">
        <v>1115</v>
      </c>
      <c r="AR137" s="21" t="s">
        <v>487</v>
      </c>
    </row>
    <row r="138">
      <c r="A138" s="21" t="s">
        <v>523</v>
      </c>
      <c r="B138" s="21" t="s">
        <v>524</v>
      </c>
      <c r="C138" s="32" t="s">
        <v>525</v>
      </c>
      <c r="D138" s="21" t="s">
        <v>962</v>
      </c>
      <c r="E138" s="21" t="s">
        <v>526</v>
      </c>
      <c r="G138" s="21" t="s">
        <v>1114</v>
      </c>
      <c r="H138" s="21">
        <v>1.0</v>
      </c>
      <c r="I138" s="21" t="s">
        <v>1014</v>
      </c>
      <c r="J138" s="21">
        <v>60.0</v>
      </c>
      <c r="K138" s="21" t="s">
        <v>334</v>
      </c>
      <c r="L138" s="21" t="s">
        <v>965</v>
      </c>
      <c r="N138" s="21" t="s">
        <v>80</v>
      </c>
      <c r="V138" s="21">
        <v>1997.0</v>
      </c>
      <c r="Z138" s="21" t="s">
        <v>50</v>
      </c>
      <c r="AA138" s="21" t="s">
        <v>976</v>
      </c>
      <c r="AB138" s="21" t="s">
        <v>51</v>
      </c>
      <c r="AC138" s="21" t="s">
        <v>977</v>
      </c>
      <c r="AD138" s="21">
        <v>-0.381356</v>
      </c>
      <c r="AE138" s="21">
        <v>117.051316</v>
      </c>
      <c r="AF138" s="21" t="s">
        <v>971</v>
      </c>
      <c r="AG138" s="21" t="s">
        <v>527</v>
      </c>
      <c r="AJ138" s="21" t="s">
        <v>308</v>
      </c>
      <c r="AK138" s="21" t="s">
        <v>974</v>
      </c>
      <c r="AL138" s="21" t="s">
        <v>975</v>
      </c>
      <c r="AM138" s="21" t="s">
        <v>1115</v>
      </c>
      <c r="AR138" s="21" t="s">
        <v>49</v>
      </c>
    </row>
    <row r="139">
      <c r="A139" s="21" t="s">
        <v>810</v>
      </c>
      <c r="B139" s="21" t="s">
        <v>811</v>
      </c>
      <c r="C139" s="32" t="s">
        <v>812</v>
      </c>
      <c r="D139" s="21" t="s">
        <v>962</v>
      </c>
      <c r="E139" s="21" t="s">
        <v>813</v>
      </c>
      <c r="G139" s="21" t="s">
        <v>1117</v>
      </c>
      <c r="H139" s="21">
        <v>1.0</v>
      </c>
      <c r="I139" s="21" t="s">
        <v>1014</v>
      </c>
      <c r="J139" s="21">
        <v>590.0</v>
      </c>
      <c r="K139" s="21" t="s">
        <v>334</v>
      </c>
      <c r="L139" s="21" t="s">
        <v>965</v>
      </c>
      <c r="N139" s="21" t="s">
        <v>80</v>
      </c>
      <c r="V139" s="21">
        <v>1994.0</v>
      </c>
      <c r="Z139" s="21" t="s">
        <v>472</v>
      </c>
      <c r="AA139" s="21" t="s">
        <v>1025</v>
      </c>
      <c r="AB139" s="21" t="s">
        <v>51</v>
      </c>
      <c r="AC139" s="21" t="s">
        <v>977</v>
      </c>
      <c r="AD139" s="21">
        <v>-6.1102</v>
      </c>
      <c r="AE139" s="21">
        <v>106.8671</v>
      </c>
      <c r="AF139" s="21" t="s">
        <v>971</v>
      </c>
      <c r="AG139" s="21" t="s">
        <v>814</v>
      </c>
      <c r="AJ139" s="21" t="s">
        <v>757</v>
      </c>
      <c r="AK139" s="21" t="s">
        <v>974</v>
      </c>
      <c r="AL139" s="21" t="s">
        <v>975</v>
      </c>
      <c r="AM139" s="21" t="s">
        <v>1118</v>
      </c>
      <c r="AR139" s="21" t="s">
        <v>49</v>
      </c>
    </row>
    <row r="140">
      <c r="A140" s="21" t="s">
        <v>810</v>
      </c>
      <c r="B140" s="21" t="s">
        <v>815</v>
      </c>
      <c r="C140" s="32" t="s">
        <v>812</v>
      </c>
      <c r="D140" s="21" t="s">
        <v>962</v>
      </c>
      <c r="E140" s="21" t="s">
        <v>813</v>
      </c>
      <c r="G140" s="21" t="s">
        <v>1117</v>
      </c>
      <c r="H140" s="21">
        <v>2.0</v>
      </c>
      <c r="I140" s="21" t="s">
        <v>1014</v>
      </c>
      <c r="J140" s="21">
        <v>590.0</v>
      </c>
      <c r="K140" s="21" t="s">
        <v>334</v>
      </c>
      <c r="L140" s="21" t="s">
        <v>965</v>
      </c>
      <c r="N140" s="21" t="s">
        <v>80</v>
      </c>
      <c r="V140" s="21">
        <v>1994.0</v>
      </c>
      <c r="Z140" s="21" t="s">
        <v>472</v>
      </c>
      <c r="AA140" s="21" t="s">
        <v>1025</v>
      </c>
      <c r="AB140" s="21" t="s">
        <v>51</v>
      </c>
      <c r="AC140" s="21" t="s">
        <v>977</v>
      </c>
      <c r="AD140" s="21">
        <v>-6.1102</v>
      </c>
      <c r="AE140" s="21">
        <v>106.8671</v>
      </c>
      <c r="AF140" s="21" t="s">
        <v>971</v>
      </c>
      <c r="AG140" s="21" t="s">
        <v>814</v>
      </c>
      <c r="AJ140" s="21" t="s">
        <v>757</v>
      </c>
      <c r="AK140" s="21" t="s">
        <v>974</v>
      </c>
      <c r="AL140" s="21" t="s">
        <v>975</v>
      </c>
      <c r="AM140" s="21" t="s">
        <v>1118</v>
      </c>
      <c r="AR140" s="21" t="s">
        <v>49</v>
      </c>
    </row>
    <row r="141">
      <c r="A141" s="21" t="s">
        <v>810</v>
      </c>
      <c r="B141" s="21" t="s">
        <v>823</v>
      </c>
      <c r="C141" s="32" t="s">
        <v>812</v>
      </c>
      <c r="D141" s="21" t="s">
        <v>962</v>
      </c>
      <c r="E141" s="21" t="s">
        <v>813</v>
      </c>
      <c r="G141" s="21" t="s">
        <v>1117</v>
      </c>
      <c r="H141" s="21">
        <v>3.0</v>
      </c>
      <c r="I141" s="21" t="s">
        <v>979</v>
      </c>
      <c r="J141" s="21">
        <v>750.0</v>
      </c>
      <c r="K141" s="21" t="s">
        <v>334</v>
      </c>
      <c r="L141" s="21" t="s">
        <v>965</v>
      </c>
      <c r="N141" s="21" t="s">
        <v>80</v>
      </c>
      <c r="V141" s="21">
        <v>2012.0</v>
      </c>
      <c r="Z141" s="21" t="s">
        <v>472</v>
      </c>
      <c r="AA141" s="21" t="s">
        <v>1025</v>
      </c>
      <c r="AB141" s="21" t="s">
        <v>51</v>
      </c>
      <c r="AC141" s="21" t="s">
        <v>977</v>
      </c>
      <c r="AD141" s="21">
        <v>-6.1102</v>
      </c>
      <c r="AE141" s="21">
        <v>106.8671</v>
      </c>
      <c r="AF141" s="21" t="s">
        <v>971</v>
      </c>
      <c r="AG141" s="21" t="s">
        <v>814</v>
      </c>
      <c r="AJ141" s="21" t="s">
        <v>757</v>
      </c>
      <c r="AK141" s="21" t="s">
        <v>974</v>
      </c>
      <c r="AL141" s="21" t="s">
        <v>975</v>
      </c>
      <c r="AM141" s="21" t="s">
        <v>1118</v>
      </c>
      <c r="AR141" s="21" t="s">
        <v>62</v>
      </c>
    </row>
    <row r="142">
      <c r="A142" s="21" t="s">
        <v>810</v>
      </c>
      <c r="B142" s="21" t="s">
        <v>834</v>
      </c>
      <c r="C142" s="32" t="s">
        <v>812</v>
      </c>
      <c r="D142" s="21" t="s">
        <v>962</v>
      </c>
      <c r="E142" s="21" t="s">
        <v>813</v>
      </c>
      <c r="G142" s="21" t="s">
        <v>1117</v>
      </c>
      <c r="H142" s="21">
        <v>4.0</v>
      </c>
      <c r="I142" s="21" t="s">
        <v>979</v>
      </c>
      <c r="J142" s="21">
        <v>891.9</v>
      </c>
      <c r="K142" s="21" t="s">
        <v>334</v>
      </c>
      <c r="L142" s="21" t="s">
        <v>965</v>
      </c>
      <c r="N142" s="21" t="s">
        <v>80</v>
      </c>
      <c r="V142" s="21">
        <v>2019.0</v>
      </c>
      <c r="Z142" s="21" t="s">
        <v>472</v>
      </c>
      <c r="AA142" s="21" t="s">
        <v>1025</v>
      </c>
      <c r="AB142" s="21" t="s">
        <v>51</v>
      </c>
      <c r="AC142" s="21" t="s">
        <v>977</v>
      </c>
      <c r="AD142" s="21">
        <v>-6.1102</v>
      </c>
      <c r="AE142" s="21">
        <v>106.8671</v>
      </c>
      <c r="AF142" s="21" t="s">
        <v>971</v>
      </c>
      <c r="AG142" s="21" t="s">
        <v>814</v>
      </c>
      <c r="AJ142" s="21" t="s">
        <v>757</v>
      </c>
      <c r="AK142" s="21" t="s">
        <v>974</v>
      </c>
      <c r="AL142" s="21" t="s">
        <v>975</v>
      </c>
      <c r="AM142" s="21" t="s">
        <v>1118</v>
      </c>
      <c r="AR142" s="21" t="s">
        <v>62</v>
      </c>
    </row>
    <row r="143">
      <c r="A143" s="21" t="s">
        <v>651</v>
      </c>
      <c r="B143" s="21" t="s">
        <v>652</v>
      </c>
      <c r="C143" s="32" t="s">
        <v>653</v>
      </c>
      <c r="D143" s="21" t="s">
        <v>962</v>
      </c>
      <c r="E143" s="21" t="s">
        <v>654</v>
      </c>
      <c r="H143" s="21">
        <v>1.0</v>
      </c>
      <c r="I143" s="21" t="s">
        <v>979</v>
      </c>
      <c r="J143" s="21">
        <v>120.0</v>
      </c>
      <c r="K143" s="21" t="s">
        <v>334</v>
      </c>
      <c r="L143" s="21" t="s">
        <v>965</v>
      </c>
      <c r="N143" s="21" t="s">
        <v>80</v>
      </c>
      <c r="V143" s="21">
        <v>2019.0</v>
      </c>
      <c r="Z143" s="21" t="s">
        <v>655</v>
      </c>
      <c r="AA143" s="21" t="s">
        <v>1119</v>
      </c>
      <c r="AB143" s="21" t="s">
        <v>51</v>
      </c>
      <c r="AC143" s="21" t="s">
        <v>977</v>
      </c>
      <c r="AD143" s="21">
        <v>1.090272</v>
      </c>
      <c r="AE143" s="21">
        <v>103.901482</v>
      </c>
      <c r="AF143" s="21" t="s">
        <v>971</v>
      </c>
      <c r="AG143" s="21" t="s">
        <v>335</v>
      </c>
      <c r="AJ143" s="21" t="s">
        <v>336</v>
      </c>
      <c r="AK143" s="21" t="s">
        <v>974</v>
      </c>
      <c r="AL143" s="21" t="s">
        <v>975</v>
      </c>
      <c r="AR143" s="21" t="s">
        <v>62</v>
      </c>
    </row>
    <row r="144">
      <c r="A144" s="21" t="s">
        <v>494</v>
      </c>
      <c r="B144" s="21" t="s">
        <v>495</v>
      </c>
      <c r="C144" s="32" t="s">
        <v>496</v>
      </c>
      <c r="D144" s="21" t="s">
        <v>962</v>
      </c>
      <c r="E144" s="21" t="s">
        <v>497</v>
      </c>
      <c r="H144" s="21">
        <v>1.0</v>
      </c>
      <c r="I144" s="21" t="s">
        <v>979</v>
      </c>
      <c r="J144" s="21">
        <v>56.4</v>
      </c>
      <c r="K144" s="21" t="s">
        <v>334</v>
      </c>
      <c r="L144" s="21" t="s">
        <v>63</v>
      </c>
      <c r="N144" s="21" t="s">
        <v>80</v>
      </c>
      <c r="P144" s="21" t="s">
        <v>80</v>
      </c>
      <c r="V144" s="21">
        <v>2016.0</v>
      </c>
      <c r="Z144" s="21" t="s">
        <v>499</v>
      </c>
      <c r="AA144" s="21" t="s">
        <v>1120</v>
      </c>
      <c r="AB144" s="21" t="s">
        <v>500</v>
      </c>
      <c r="AC144" s="21" t="s">
        <v>1121</v>
      </c>
      <c r="AD144" s="21">
        <v>-1.596978</v>
      </c>
      <c r="AE144" s="21">
        <v>103.641324</v>
      </c>
      <c r="AF144" s="21" t="s">
        <v>982</v>
      </c>
      <c r="AG144" s="21" t="s">
        <v>498</v>
      </c>
      <c r="AJ144" s="21" t="s">
        <v>457</v>
      </c>
      <c r="AK144" s="21" t="s">
        <v>974</v>
      </c>
      <c r="AL144" s="21" t="s">
        <v>975</v>
      </c>
      <c r="AR144" s="21" t="s">
        <v>62</v>
      </c>
    </row>
    <row r="145">
      <c r="A145" s="21" t="s">
        <v>501</v>
      </c>
      <c r="B145" s="21" t="s">
        <v>502</v>
      </c>
      <c r="C145" s="32" t="s">
        <v>503</v>
      </c>
      <c r="D145" s="21" t="s">
        <v>962</v>
      </c>
      <c r="E145" s="21" t="s">
        <v>504</v>
      </c>
      <c r="H145" s="21">
        <v>1.0</v>
      </c>
      <c r="I145" s="21" t="s">
        <v>979</v>
      </c>
      <c r="J145" s="21">
        <v>56.4</v>
      </c>
      <c r="K145" s="21" t="s">
        <v>334</v>
      </c>
      <c r="L145" s="21" t="s">
        <v>63</v>
      </c>
      <c r="N145" s="21" t="s">
        <v>80</v>
      </c>
      <c r="P145" s="21" t="s">
        <v>80</v>
      </c>
      <c r="V145" s="21">
        <v>2015.0</v>
      </c>
      <c r="Z145" s="21" t="s">
        <v>499</v>
      </c>
      <c r="AA145" s="21" t="s">
        <v>1120</v>
      </c>
      <c r="AB145" s="21" t="s">
        <v>500</v>
      </c>
      <c r="AC145" s="21" t="s">
        <v>1121</v>
      </c>
      <c r="AD145" s="21">
        <v>-2.957366</v>
      </c>
      <c r="AE145" s="21">
        <v>104.776349</v>
      </c>
      <c r="AF145" s="21" t="s">
        <v>982</v>
      </c>
      <c r="AG145" s="21" t="s">
        <v>365</v>
      </c>
      <c r="AJ145" s="21" t="s">
        <v>358</v>
      </c>
      <c r="AK145" s="21" t="s">
        <v>974</v>
      </c>
      <c r="AL145" s="21" t="s">
        <v>975</v>
      </c>
      <c r="AR145" s="21" t="s">
        <v>62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</hyperlinks>
  <drawing r:id="rId14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88"/>
    <col customWidth="1" min="3" max="3" width="29.0"/>
    <col customWidth="1" min="4" max="4" width="20.0"/>
    <col customWidth="1" min="7" max="7" width="38.0"/>
  </cols>
  <sheetData>
    <row r="1">
      <c r="A1" s="57" t="s">
        <v>1122</v>
      </c>
      <c r="B1" s="57" t="s">
        <v>1123</v>
      </c>
      <c r="C1" s="58" t="s">
        <v>1124</v>
      </c>
      <c r="D1" s="57" t="s">
        <v>1125</v>
      </c>
      <c r="E1" s="57" t="s">
        <v>1126</v>
      </c>
      <c r="F1" s="59" t="s">
        <v>1127</v>
      </c>
      <c r="G1" s="21" t="s">
        <v>1128</v>
      </c>
      <c r="H1" s="21" t="s">
        <v>1129</v>
      </c>
    </row>
    <row r="2">
      <c r="A2" s="60">
        <v>1.0</v>
      </c>
      <c r="B2" s="61" t="s">
        <v>1130</v>
      </c>
      <c r="C2" s="62" t="s">
        <v>1131</v>
      </c>
      <c r="D2" s="60">
        <v>133.8</v>
      </c>
      <c r="E2" s="63"/>
      <c r="F2" s="64" t="s">
        <v>53</v>
      </c>
      <c r="H2" s="21" t="s">
        <v>53</v>
      </c>
      <c r="I2" s="21" t="s">
        <v>1132</v>
      </c>
    </row>
    <row r="3">
      <c r="A3" s="60">
        <v>2.0</v>
      </c>
      <c r="B3" s="61" t="s">
        <v>1133</v>
      </c>
      <c r="C3" s="65"/>
      <c r="D3" s="60">
        <v>48.8</v>
      </c>
      <c r="E3" s="63"/>
      <c r="F3" s="66"/>
      <c r="H3" s="67"/>
      <c r="I3" s="21" t="s">
        <v>1134</v>
      </c>
    </row>
    <row r="4">
      <c r="A4" s="60">
        <v>3.0</v>
      </c>
      <c r="B4" s="61" t="s">
        <v>1135</v>
      </c>
      <c r="C4" s="65"/>
      <c r="D4" s="60">
        <v>48.8</v>
      </c>
      <c r="E4" s="63"/>
      <c r="F4" s="66"/>
      <c r="H4" s="68"/>
      <c r="I4" s="21" t="s">
        <v>1136</v>
      </c>
    </row>
    <row r="5">
      <c r="A5" s="60">
        <v>4.0</v>
      </c>
      <c r="B5" s="61" t="s">
        <v>434</v>
      </c>
      <c r="C5" s="65"/>
      <c r="D5" s="60">
        <v>21.35</v>
      </c>
      <c r="E5" s="63"/>
      <c r="F5" s="69"/>
    </row>
    <row r="6">
      <c r="A6" s="60">
        <v>5.0</v>
      </c>
      <c r="B6" s="61" t="s">
        <v>436</v>
      </c>
      <c r="C6" s="65"/>
      <c r="D6" s="60">
        <v>20.1</v>
      </c>
      <c r="E6" s="63"/>
      <c r="F6" s="69"/>
    </row>
    <row r="7">
      <c r="A7" s="60">
        <v>6.0</v>
      </c>
      <c r="B7" s="61" t="s">
        <v>437</v>
      </c>
      <c r="C7" s="65"/>
      <c r="D7" s="60">
        <v>42.0</v>
      </c>
      <c r="E7" s="63"/>
      <c r="F7" s="69"/>
    </row>
    <row r="8">
      <c r="A8" s="60">
        <v>7.0</v>
      </c>
      <c r="B8" s="61" t="s">
        <v>438</v>
      </c>
      <c r="C8" s="65"/>
      <c r="D8" s="60">
        <v>42.0</v>
      </c>
      <c r="E8" s="63"/>
      <c r="F8" s="69"/>
    </row>
    <row r="9">
      <c r="A9" s="60">
        <v>8.0</v>
      </c>
      <c r="B9" s="61" t="s">
        <v>1137</v>
      </c>
      <c r="C9" s="65"/>
      <c r="D9" s="60">
        <v>100.75</v>
      </c>
      <c r="E9" s="63"/>
      <c r="F9" s="64" t="s">
        <v>53</v>
      </c>
    </row>
    <row r="10">
      <c r="A10" s="60">
        <v>9.0</v>
      </c>
      <c r="B10" s="61" t="s">
        <v>1138</v>
      </c>
      <c r="C10" s="70"/>
      <c r="D10" s="60">
        <v>100.75</v>
      </c>
      <c r="E10" s="63"/>
      <c r="F10" s="64" t="s">
        <v>53</v>
      </c>
    </row>
    <row r="11">
      <c r="A11" s="60">
        <v>10.0</v>
      </c>
      <c r="B11" s="61" t="s">
        <v>340</v>
      </c>
      <c r="C11" s="62" t="s">
        <v>1139</v>
      </c>
      <c r="D11" s="60">
        <v>4.2</v>
      </c>
      <c r="E11" s="63"/>
      <c r="F11" s="66"/>
    </row>
    <row r="12">
      <c r="A12" s="60">
        <v>11.0</v>
      </c>
      <c r="B12" s="61" t="s">
        <v>342</v>
      </c>
      <c r="C12" s="70"/>
      <c r="D12" s="60">
        <v>4.2</v>
      </c>
      <c r="E12" s="63"/>
      <c r="F12" s="66"/>
    </row>
    <row r="13">
      <c r="A13" s="60">
        <v>12.0</v>
      </c>
      <c r="B13" s="61" t="s">
        <v>1140</v>
      </c>
      <c r="C13" s="62" t="s">
        <v>1141</v>
      </c>
      <c r="D13" s="60">
        <v>25.0</v>
      </c>
      <c r="E13" s="63"/>
      <c r="F13" s="64" t="s">
        <v>53</v>
      </c>
      <c r="G13" s="21" t="s">
        <v>1142</v>
      </c>
    </row>
    <row r="14">
      <c r="A14" s="60">
        <v>13.0</v>
      </c>
      <c r="B14" s="61" t="s">
        <v>1143</v>
      </c>
      <c r="C14" s="65"/>
      <c r="D14" s="60">
        <v>25.0</v>
      </c>
      <c r="E14" s="63"/>
      <c r="F14" s="64" t="s">
        <v>53</v>
      </c>
      <c r="G14" s="21" t="s">
        <v>1142</v>
      </c>
    </row>
    <row r="15">
      <c r="A15" s="60">
        <v>14.0</v>
      </c>
      <c r="B15" s="61" t="s">
        <v>1144</v>
      </c>
      <c r="C15" s="65"/>
      <c r="D15" s="60">
        <v>25.0</v>
      </c>
      <c r="E15" s="63"/>
      <c r="F15" s="64" t="s">
        <v>53</v>
      </c>
      <c r="G15" s="21" t="s">
        <v>1142</v>
      </c>
    </row>
    <row r="16">
      <c r="A16" s="60">
        <v>15.0</v>
      </c>
      <c r="B16" s="61" t="s">
        <v>1145</v>
      </c>
      <c r="C16" s="70"/>
      <c r="D16" s="60">
        <v>25.0</v>
      </c>
      <c r="E16" s="63"/>
      <c r="F16" s="64" t="s">
        <v>53</v>
      </c>
      <c r="G16" s="21" t="s">
        <v>1142</v>
      </c>
    </row>
    <row r="17">
      <c r="A17" s="60">
        <v>16.0</v>
      </c>
      <c r="B17" s="61" t="s">
        <v>1146</v>
      </c>
      <c r="C17" s="62" t="s">
        <v>1147</v>
      </c>
      <c r="D17" s="60">
        <v>30.0</v>
      </c>
      <c r="E17" s="63"/>
      <c r="F17" s="71"/>
      <c r="G17" s="21" t="s">
        <v>1148</v>
      </c>
    </row>
    <row r="18">
      <c r="A18" s="60">
        <v>17.0</v>
      </c>
      <c r="B18" s="61" t="s">
        <v>1149</v>
      </c>
      <c r="C18" s="65"/>
      <c r="D18" s="60">
        <v>30.0</v>
      </c>
      <c r="E18" s="63"/>
      <c r="F18" s="72"/>
      <c r="G18" s="21" t="s">
        <v>1148</v>
      </c>
    </row>
    <row r="19">
      <c r="A19" s="60">
        <v>18.0</v>
      </c>
      <c r="B19" s="61" t="s">
        <v>1150</v>
      </c>
      <c r="C19" s="65"/>
      <c r="D19" s="60">
        <v>46.78</v>
      </c>
      <c r="E19" s="63"/>
      <c r="F19" s="64" t="s">
        <v>53</v>
      </c>
      <c r="G19" s="21" t="s">
        <v>1151</v>
      </c>
    </row>
    <row r="20">
      <c r="A20" s="60">
        <v>19.0</v>
      </c>
      <c r="B20" s="61" t="s">
        <v>1152</v>
      </c>
      <c r="C20" s="70"/>
      <c r="D20" s="60">
        <v>50.0</v>
      </c>
      <c r="E20" s="63"/>
      <c r="F20" s="64" t="s">
        <v>53</v>
      </c>
      <c r="G20" s="21" t="s">
        <v>1151</v>
      </c>
    </row>
    <row r="21">
      <c r="A21" s="60">
        <v>20.0</v>
      </c>
      <c r="B21" s="61" t="s">
        <v>411</v>
      </c>
      <c r="C21" s="62" t="s">
        <v>1153</v>
      </c>
      <c r="D21" s="60">
        <v>29.0</v>
      </c>
      <c r="E21" s="63"/>
      <c r="F21" s="66"/>
    </row>
    <row r="22">
      <c r="A22" s="60">
        <v>21.0</v>
      </c>
      <c r="B22" s="61" t="s">
        <v>408</v>
      </c>
      <c r="C22" s="70"/>
      <c r="D22" s="60">
        <v>26.0</v>
      </c>
      <c r="E22" s="63"/>
      <c r="F22" s="66"/>
    </row>
    <row r="23">
      <c r="A23" s="60">
        <v>22.0</v>
      </c>
      <c r="B23" s="61" t="s">
        <v>489</v>
      </c>
      <c r="C23" s="62" t="s">
        <v>1154</v>
      </c>
      <c r="D23" s="60">
        <v>50.0</v>
      </c>
      <c r="E23" s="63"/>
      <c r="F23" s="66"/>
    </row>
    <row r="24">
      <c r="A24" s="60">
        <v>23.0</v>
      </c>
      <c r="B24" s="61" t="s">
        <v>490</v>
      </c>
      <c r="C24" s="65"/>
      <c r="D24" s="60">
        <v>50.0</v>
      </c>
      <c r="E24" s="63"/>
      <c r="F24" s="66"/>
    </row>
    <row r="25">
      <c r="A25" s="60">
        <v>24.0</v>
      </c>
      <c r="B25" s="61" t="s">
        <v>418</v>
      </c>
      <c r="C25" s="70"/>
      <c r="D25" s="60">
        <v>34.0</v>
      </c>
      <c r="E25" s="63"/>
      <c r="F25" s="66"/>
    </row>
    <row r="26">
      <c r="A26" s="60">
        <v>25.0</v>
      </c>
      <c r="B26" s="61" t="s">
        <v>1155</v>
      </c>
      <c r="C26" s="73" t="s">
        <v>1156</v>
      </c>
      <c r="D26" s="63"/>
      <c r="E26" s="60">
        <v>2016.0</v>
      </c>
      <c r="F26" s="72"/>
      <c r="G26" s="21" t="s">
        <v>1157</v>
      </c>
    </row>
    <row r="27">
      <c r="A27" s="60">
        <v>26.0</v>
      </c>
      <c r="B27" s="61" t="s">
        <v>396</v>
      </c>
      <c r="C27" s="73" t="s">
        <v>1158</v>
      </c>
      <c r="D27" s="60">
        <v>21.55</v>
      </c>
      <c r="E27" s="63"/>
      <c r="F27" s="66"/>
    </row>
    <row r="28">
      <c r="A28" s="60">
        <v>27.0</v>
      </c>
      <c r="B28" s="61" t="s">
        <v>1159</v>
      </c>
      <c r="C28" s="62" t="s">
        <v>1160</v>
      </c>
      <c r="D28" s="60">
        <v>34.0</v>
      </c>
      <c r="E28" s="63"/>
      <c r="F28" s="64" t="s">
        <v>53</v>
      </c>
      <c r="G28" s="21" t="s">
        <v>1161</v>
      </c>
    </row>
    <row r="29">
      <c r="A29" s="60">
        <v>28.0</v>
      </c>
      <c r="B29" s="61" t="s">
        <v>1162</v>
      </c>
      <c r="C29" s="65"/>
      <c r="D29" s="60">
        <v>80.0</v>
      </c>
      <c r="E29" s="63"/>
      <c r="F29" s="64" t="s">
        <v>53</v>
      </c>
      <c r="G29" s="21" t="s">
        <v>1161</v>
      </c>
    </row>
    <row r="30">
      <c r="A30" s="60">
        <v>29.0</v>
      </c>
      <c r="B30" s="61" t="s">
        <v>1163</v>
      </c>
      <c r="C30" s="65"/>
      <c r="D30" s="60">
        <v>80.0</v>
      </c>
      <c r="E30" s="63"/>
      <c r="F30" s="64" t="s">
        <v>53</v>
      </c>
      <c r="G30" s="21" t="s">
        <v>1161</v>
      </c>
    </row>
    <row r="31">
      <c r="A31" s="60">
        <v>30.0</v>
      </c>
      <c r="B31" s="61" t="s">
        <v>368</v>
      </c>
      <c r="C31" s="65"/>
      <c r="D31" s="60">
        <v>20.0</v>
      </c>
      <c r="E31" s="63"/>
      <c r="F31" s="66"/>
    </row>
    <row r="32">
      <c r="A32" s="60">
        <v>31.0</v>
      </c>
      <c r="B32" s="61" t="s">
        <v>370</v>
      </c>
      <c r="C32" s="70"/>
      <c r="D32" s="60">
        <v>20.0</v>
      </c>
      <c r="E32" s="63"/>
      <c r="F32" s="66"/>
    </row>
    <row r="33">
      <c r="A33" s="60">
        <v>32.0</v>
      </c>
      <c r="B33" s="61" t="s">
        <v>362</v>
      </c>
      <c r="C33" s="73" t="s">
        <v>1164</v>
      </c>
      <c r="D33" s="60">
        <v>15.6</v>
      </c>
      <c r="E33" s="63"/>
      <c r="F33" s="66"/>
    </row>
    <row r="34">
      <c r="A34" s="60">
        <v>33.0</v>
      </c>
      <c r="B34" s="61" t="s">
        <v>542</v>
      </c>
      <c r="C34" s="62" t="s">
        <v>1165</v>
      </c>
      <c r="D34" s="60">
        <v>75.0</v>
      </c>
      <c r="E34" s="63"/>
      <c r="F34" s="66"/>
    </row>
    <row r="35">
      <c r="A35" s="60">
        <v>34.0</v>
      </c>
      <c r="B35" s="61" t="s">
        <v>405</v>
      </c>
      <c r="C35" s="70"/>
      <c r="D35" s="60">
        <v>25.0</v>
      </c>
      <c r="E35" s="63"/>
      <c r="F35" s="66"/>
    </row>
    <row r="36">
      <c r="A36" s="60">
        <v>35.0</v>
      </c>
      <c r="B36" s="61" t="s">
        <v>1166</v>
      </c>
      <c r="C36" s="62" t="s">
        <v>1167</v>
      </c>
      <c r="D36" s="60">
        <v>65.16</v>
      </c>
      <c r="E36" s="63"/>
      <c r="F36" s="64" t="s">
        <v>53</v>
      </c>
      <c r="G36" s="21" t="s">
        <v>1168</v>
      </c>
    </row>
    <row r="37">
      <c r="A37" s="60">
        <v>36.0</v>
      </c>
      <c r="B37" s="61" t="s">
        <v>1169</v>
      </c>
      <c r="C37" s="65"/>
      <c r="D37" s="60">
        <v>64.6</v>
      </c>
      <c r="E37" s="63"/>
      <c r="F37" s="64" t="s">
        <v>53</v>
      </c>
      <c r="G37" s="21" t="s">
        <v>1168</v>
      </c>
    </row>
    <row r="38">
      <c r="A38" s="60">
        <v>37.0</v>
      </c>
      <c r="B38" s="61" t="s">
        <v>432</v>
      </c>
      <c r="C38" s="70"/>
      <c r="D38" s="60">
        <v>70.0</v>
      </c>
      <c r="E38" s="63"/>
      <c r="F38" s="69"/>
    </row>
    <row r="39">
      <c r="A39" s="60">
        <v>38.0</v>
      </c>
      <c r="B39" s="61" t="s">
        <v>609</v>
      </c>
      <c r="C39" s="62" t="s">
        <v>1170</v>
      </c>
      <c r="D39" s="60">
        <v>100.0</v>
      </c>
      <c r="E39" s="63"/>
      <c r="F39" s="69"/>
    </row>
    <row r="40">
      <c r="A40" s="60">
        <v>39.0</v>
      </c>
      <c r="B40" s="61" t="s">
        <v>390</v>
      </c>
      <c r="C40" s="65"/>
      <c r="D40" s="60">
        <v>21.5</v>
      </c>
      <c r="E40" s="63"/>
      <c r="F40" s="66"/>
    </row>
    <row r="41">
      <c r="A41" s="60">
        <v>40.0</v>
      </c>
      <c r="B41" s="61" t="s">
        <v>1171</v>
      </c>
      <c r="C41" s="70"/>
      <c r="D41" s="60">
        <v>21.35</v>
      </c>
      <c r="E41" s="63"/>
      <c r="F41" s="66"/>
    </row>
    <row r="42">
      <c r="A42" s="60">
        <v>41.0</v>
      </c>
      <c r="B42" s="61" t="s">
        <v>412</v>
      </c>
      <c r="C42" s="73" t="s">
        <v>1172</v>
      </c>
      <c r="D42" s="60">
        <v>30.0</v>
      </c>
      <c r="E42" s="63"/>
      <c r="F42" s="71" t="s">
        <v>53</v>
      </c>
      <c r="G42" s="23" t="s">
        <v>1173</v>
      </c>
    </row>
    <row r="43">
      <c r="A43" s="60">
        <v>42.0</v>
      </c>
      <c r="B43" s="61" t="s">
        <v>492</v>
      </c>
      <c r="C43" s="73" t="s">
        <v>1174</v>
      </c>
      <c r="D43" s="60">
        <v>50.0</v>
      </c>
      <c r="E43" s="63"/>
      <c r="F43" s="66"/>
    </row>
    <row r="44">
      <c r="A44" s="60">
        <v>43.0</v>
      </c>
      <c r="B44" s="61" t="s">
        <v>537</v>
      </c>
      <c r="C44" s="73" t="s">
        <v>1175</v>
      </c>
      <c r="D44" s="60">
        <v>66.0</v>
      </c>
      <c r="E44" s="63"/>
      <c r="F44" s="66"/>
    </row>
    <row r="45">
      <c r="A45" s="60">
        <v>44.0</v>
      </c>
      <c r="B45" s="61" t="s">
        <v>392</v>
      </c>
      <c r="C45" s="62" t="s">
        <v>1176</v>
      </c>
      <c r="D45" s="60">
        <v>21.5</v>
      </c>
      <c r="E45" s="63"/>
      <c r="F45" s="66"/>
    </row>
    <row r="46">
      <c r="A46" s="60">
        <v>45.0</v>
      </c>
      <c r="B46" s="61" t="s">
        <v>395</v>
      </c>
      <c r="C46" s="70"/>
      <c r="D46" s="60">
        <v>21.5</v>
      </c>
      <c r="E46" s="63"/>
      <c r="F46" s="66"/>
    </row>
    <row r="47">
      <c r="A47" s="60">
        <v>46.0</v>
      </c>
      <c r="B47" s="61" t="s">
        <v>384</v>
      </c>
      <c r="C47" s="62" t="s">
        <v>1177</v>
      </c>
      <c r="D47" s="60">
        <v>21.35</v>
      </c>
      <c r="E47" s="63"/>
      <c r="F47" s="66"/>
    </row>
    <row r="48">
      <c r="A48" s="60">
        <v>47.0</v>
      </c>
      <c r="B48" s="61" t="s">
        <v>359</v>
      </c>
      <c r="C48" s="65"/>
      <c r="D48" s="60">
        <v>14.466</v>
      </c>
      <c r="E48" s="63"/>
      <c r="F48" s="66"/>
    </row>
    <row r="49">
      <c r="A49" s="60">
        <v>48.0</v>
      </c>
      <c r="B49" s="61" t="s">
        <v>381</v>
      </c>
      <c r="C49" s="65"/>
      <c r="D49" s="60">
        <v>20.2</v>
      </c>
      <c r="E49" s="63"/>
      <c r="F49" s="66"/>
    </row>
    <row r="50">
      <c r="A50" s="60">
        <v>49.0</v>
      </c>
      <c r="B50" s="61" t="s">
        <v>416</v>
      </c>
      <c r="C50" s="65"/>
      <c r="D50" s="60">
        <v>33.4</v>
      </c>
      <c r="E50" s="63"/>
      <c r="F50" s="66"/>
    </row>
    <row r="51">
      <c r="A51" s="60">
        <v>50.0</v>
      </c>
      <c r="B51" s="61" t="s">
        <v>417</v>
      </c>
      <c r="C51" s="70"/>
      <c r="D51" s="60">
        <v>33.4</v>
      </c>
      <c r="E51" s="63"/>
      <c r="F51" s="66"/>
    </row>
    <row r="52">
      <c r="A52" s="60">
        <v>51.0</v>
      </c>
      <c r="B52" s="61" t="s">
        <v>1178</v>
      </c>
      <c r="C52" s="62" t="s">
        <v>1179</v>
      </c>
      <c r="D52" s="60">
        <v>0.0</v>
      </c>
      <c r="E52" s="63"/>
      <c r="F52" s="72"/>
      <c r="G52" s="21" t="s">
        <v>1180</v>
      </c>
    </row>
    <row r="53">
      <c r="A53" s="60">
        <v>52.0</v>
      </c>
      <c r="B53" s="61" t="s">
        <v>373</v>
      </c>
      <c r="C53" s="65"/>
      <c r="D53" s="60">
        <v>20.0</v>
      </c>
      <c r="E53" s="63"/>
      <c r="F53" s="66"/>
    </row>
    <row r="54">
      <c r="A54" s="60">
        <v>53.0</v>
      </c>
      <c r="B54" s="61" t="s">
        <v>765</v>
      </c>
      <c r="C54" s="65"/>
      <c r="D54" s="60">
        <v>285.0</v>
      </c>
      <c r="E54" s="63"/>
      <c r="F54" s="66"/>
    </row>
    <row r="55">
      <c r="A55" s="60">
        <v>54.0</v>
      </c>
      <c r="B55" s="61" t="s">
        <v>576</v>
      </c>
      <c r="C55" s="65"/>
      <c r="D55" s="60">
        <v>82.5</v>
      </c>
      <c r="E55" s="63"/>
      <c r="F55" s="66"/>
    </row>
    <row r="56">
      <c r="A56" s="60">
        <v>55.0</v>
      </c>
      <c r="B56" s="61" t="s">
        <v>398</v>
      </c>
      <c r="C56" s="65"/>
      <c r="D56" s="60">
        <v>21.6</v>
      </c>
      <c r="E56" s="63"/>
      <c r="F56" s="66"/>
    </row>
    <row r="57">
      <c r="A57" s="60">
        <v>56.0</v>
      </c>
      <c r="B57" s="61" t="s">
        <v>399</v>
      </c>
      <c r="C57" s="65"/>
      <c r="D57" s="60">
        <v>21.6</v>
      </c>
      <c r="E57" s="63"/>
      <c r="F57" s="66"/>
    </row>
    <row r="58">
      <c r="A58" s="60">
        <v>57.0</v>
      </c>
      <c r="B58" s="61" t="s">
        <v>371</v>
      </c>
      <c r="C58" s="70"/>
      <c r="D58" s="60">
        <v>20.0</v>
      </c>
      <c r="E58" s="63"/>
      <c r="F58" s="66"/>
    </row>
    <row r="59">
      <c r="A59" s="60">
        <v>58.0</v>
      </c>
      <c r="B59" s="61" t="s">
        <v>1181</v>
      </c>
      <c r="C59" s="62" t="s">
        <v>1182</v>
      </c>
      <c r="D59" s="60">
        <v>22.0</v>
      </c>
      <c r="E59" s="63"/>
      <c r="F59" s="66"/>
    </row>
    <row r="60">
      <c r="A60" s="60">
        <v>59.0</v>
      </c>
      <c r="B60" s="61" t="s">
        <v>351</v>
      </c>
      <c r="C60" s="65"/>
      <c r="D60" s="60">
        <v>6.39</v>
      </c>
      <c r="E60" s="63"/>
      <c r="F60" s="66"/>
    </row>
    <row r="61">
      <c r="A61" s="60">
        <v>60.0</v>
      </c>
      <c r="B61" s="61" t="s">
        <v>424</v>
      </c>
      <c r="C61" s="65"/>
      <c r="D61" s="60">
        <v>20.1</v>
      </c>
      <c r="E61" s="63"/>
      <c r="F61" s="66"/>
    </row>
    <row r="62">
      <c r="A62" s="60">
        <v>61.0</v>
      </c>
      <c r="B62" s="61" t="s">
        <v>425</v>
      </c>
      <c r="C62" s="65"/>
      <c r="D62" s="60">
        <v>20.1</v>
      </c>
      <c r="E62" s="63"/>
      <c r="F62" s="66"/>
    </row>
    <row r="63">
      <c r="A63" s="60">
        <v>62.0</v>
      </c>
      <c r="B63" s="61" t="s">
        <v>349</v>
      </c>
      <c r="C63" s="65"/>
      <c r="D63" s="60">
        <v>6.0</v>
      </c>
      <c r="E63" s="63"/>
      <c r="F63" s="66"/>
    </row>
    <row r="64">
      <c r="A64" s="60">
        <v>63.0</v>
      </c>
      <c r="B64" s="61" t="s">
        <v>347</v>
      </c>
      <c r="C64" s="65"/>
      <c r="D64" s="60">
        <v>5.84</v>
      </c>
      <c r="E64" s="63"/>
      <c r="F64" s="66"/>
    </row>
    <row r="65">
      <c r="A65" s="60">
        <v>64.0</v>
      </c>
      <c r="B65" s="61" t="s">
        <v>343</v>
      </c>
      <c r="C65" s="65"/>
      <c r="D65" s="60">
        <v>4.8</v>
      </c>
      <c r="E65" s="63"/>
      <c r="F65" s="66"/>
    </row>
    <row r="66">
      <c r="A66" s="60">
        <v>65.0</v>
      </c>
      <c r="B66" s="61" t="s">
        <v>353</v>
      </c>
      <c r="C66" s="65"/>
      <c r="D66" s="60">
        <v>6.72</v>
      </c>
      <c r="E66" s="63"/>
      <c r="F66" s="66"/>
    </row>
    <row r="67">
      <c r="A67" s="60">
        <v>66.0</v>
      </c>
      <c r="B67" s="61" t="s">
        <v>577</v>
      </c>
      <c r="C67" s="70"/>
      <c r="D67" s="60">
        <v>84.48</v>
      </c>
      <c r="E67" s="63"/>
      <c r="F67" s="66"/>
    </row>
    <row r="68">
      <c r="A68" s="60">
        <v>67.0</v>
      </c>
      <c r="B68" s="61" t="s">
        <v>423</v>
      </c>
      <c r="C68" s="62" t="s">
        <v>1183</v>
      </c>
      <c r="D68" s="60">
        <v>39.0</v>
      </c>
      <c r="E68" s="63"/>
      <c r="F68" s="66"/>
    </row>
    <row r="69">
      <c r="A69" s="60">
        <v>68.0</v>
      </c>
      <c r="B69" s="61" t="s">
        <v>734</v>
      </c>
      <c r="C69" s="65"/>
      <c r="D69" s="60">
        <v>160.62</v>
      </c>
      <c r="E69" s="63"/>
      <c r="F69" s="66"/>
    </row>
    <row r="70">
      <c r="A70" s="60">
        <v>69.0</v>
      </c>
      <c r="B70" s="61" t="s">
        <v>1184</v>
      </c>
      <c r="C70" s="65"/>
      <c r="D70" s="60">
        <v>143.0</v>
      </c>
      <c r="E70" s="63"/>
      <c r="F70" s="64" t="s">
        <v>53</v>
      </c>
    </row>
    <row r="71">
      <c r="A71" s="60">
        <v>70.0</v>
      </c>
      <c r="B71" s="61" t="s">
        <v>1185</v>
      </c>
      <c r="C71" s="65"/>
      <c r="D71" s="60">
        <v>143.0</v>
      </c>
      <c r="E71" s="63"/>
      <c r="F71" s="64" t="s">
        <v>53</v>
      </c>
    </row>
    <row r="72">
      <c r="A72" s="60">
        <v>71.0</v>
      </c>
      <c r="B72" s="61" t="s">
        <v>1186</v>
      </c>
      <c r="C72" s="65"/>
      <c r="D72" s="60">
        <v>143.0</v>
      </c>
      <c r="E72" s="63"/>
      <c r="F72" s="64" t="s">
        <v>53</v>
      </c>
    </row>
    <row r="73">
      <c r="A73" s="60">
        <v>72.0</v>
      </c>
      <c r="B73" s="61" t="s">
        <v>1187</v>
      </c>
      <c r="C73" s="65"/>
      <c r="D73" s="60">
        <v>143.0</v>
      </c>
      <c r="E73" s="63"/>
      <c r="F73" s="64" t="s">
        <v>53</v>
      </c>
    </row>
    <row r="74">
      <c r="A74" s="60">
        <v>73.0</v>
      </c>
      <c r="B74" s="61" t="s">
        <v>1188</v>
      </c>
      <c r="C74" s="65"/>
      <c r="D74" s="60">
        <v>143.0</v>
      </c>
      <c r="E74" s="63"/>
      <c r="F74" s="64" t="s">
        <v>53</v>
      </c>
    </row>
    <row r="75">
      <c r="A75" s="60">
        <v>74.0</v>
      </c>
      <c r="B75" s="61" t="s">
        <v>1189</v>
      </c>
      <c r="C75" s="65"/>
      <c r="D75" s="60">
        <v>143.0</v>
      </c>
      <c r="E75" s="63"/>
      <c r="F75" s="64" t="s">
        <v>53</v>
      </c>
    </row>
    <row r="76">
      <c r="A76" s="60">
        <v>75.0</v>
      </c>
      <c r="B76" s="61" t="s">
        <v>375</v>
      </c>
      <c r="C76" s="65"/>
      <c r="D76" s="60">
        <v>20.03</v>
      </c>
      <c r="E76" s="63"/>
      <c r="F76" s="66"/>
    </row>
    <row r="77">
      <c r="A77" s="60">
        <v>76.0</v>
      </c>
      <c r="B77" s="61" t="s">
        <v>378</v>
      </c>
      <c r="C77" s="65"/>
      <c r="D77" s="60">
        <v>20.1</v>
      </c>
      <c r="E77" s="63"/>
      <c r="F77" s="66"/>
    </row>
    <row r="78">
      <c r="A78" s="60">
        <v>77.0</v>
      </c>
      <c r="B78" s="61" t="s">
        <v>379</v>
      </c>
      <c r="C78" s="65"/>
      <c r="D78" s="60">
        <v>20.1</v>
      </c>
      <c r="E78" s="63"/>
      <c r="F78" s="66"/>
    </row>
    <row r="79">
      <c r="A79" s="60">
        <v>78.0</v>
      </c>
      <c r="B79" s="61" t="s">
        <v>1190</v>
      </c>
      <c r="C79" s="70"/>
      <c r="D79" s="60">
        <v>64.0</v>
      </c>
      <c r="E79" s="63"/>
      <c r="F79" s="64" t="s">
        <v>53</v>
      </c>
      <c r="G79" s="21" t="s">
        <v>1191</v>
      </c>
    </row>
    <row r="80">
      <c r="A80" s="60">
        <v>79.0</v>
      </c>
      <c r="B80" s="61" t="s">
        <v>426</v>
      </c>
      <c r="C80" s="62" t="s">
        <v>1192</v>
      </c>
      <c r="D80" s="60">
        <v>33.583</v>
      </c>
      <c r="E80" s="63"/>
      <c r="F80" s="66"/>
    </row>
    <row r="81">
      <c r="A81" s="60">
        <v>80.0</v>
      </c>
      <c r="B81" s="61" t="s">
        <v>427</v>
      </c>
      <c r="C81" s="65"/>
      <c r="D81" s="60">
        <v>33.583</v>
      </c>
      <c r="E81" s="63"/>
      <c r="F81" s="66"/>
    </row>
    <row r="82">
      <c r="A82" s="60">
        <v>81.0</v>
      </c>
      <c r="B82" s="61" t="s">
        <v>428</v>
      </c>
      <c r="C82" s="65"/>
      <c r="D82" s="60">
        <v>14.0</v>
      </c>
      <c r="E82" s="63"/>
      <c r="F82" s="66"/>
    </row>
    <row r="83">
      <c r="A83" s="60">
        <v>82.0</v>
      </c>
      <c r="B83" s="61" t="s">
        <v>389</v>
      </c>
      <c r="C83" s="65"/>
      <c r="D83" s="60">
        <v>21.5</v>
      </c>
      <c r="E83" s="63"/>
      <c r="F83" s="66"/>
    </row>
    <row r="84">
      <c r="A84" s="60">
        <v>83.0</v>
      </c>
      <c r="B84" s="61" t="s">
        <v>422</v>
      </c>
      <c r="C84" s="65"/>
      <c r="D84" s="60">
        <v>35.1</v>
      </c>
      <c r="E84" s="63"/>
      <c r="F84" s="66"/>
    </row>
    <row r="85">
      <c r="A85" s="60">
        <v>84.0</v>
      </c>
      <c r="B85" s="61" t="s">
        <v>1193</v>
      </c>
      <c r="C85" s="65"/>
      <c r="D85" s="60">
        <v>48.8</v>
      </c>
      <c r="E85" s="63"/>
      <c r="F85" s="66"/>
    </row>
    <row r="86">
      <c r="A86" s="60">
        <v>85.0</v>
      </c>
      <c r="B86" s="61" t="s">
        <v>1194</v>
      </c>
      <c r="C86" s="65"/>
      <c r="D86" s="60">
        <v>12.0</v>
      </c>
      <c r="E86" s="63"/>
      <c r="F86" s="66"/>
    </row>
    <row r="87">
      <c r="A87" s="60">
        <v>86.0</v>
      </c>
      <c r="B87" s="61" t="s">
        <v>429</v>
      </c>
      <c r="C87" s="65"/>
      <c r="D87" s="60">
        <v>12.0</v>
      </c>
      <c r="E87" s="63"/>
      <c r="F87" s="66"/>
    </row>
    <row r="88">
      <c r="A88" s="60">
        <v>87.0</v>
      </c>
      <c r="B88" s="61" t="s">
        <v>1195</v>
      </c>
      <c r="C88" s="65"/>
      <c r="D88" s="60">
        <v>20.0</v>
      </c>
      <c r="E88" s="63"/>
      <c r="F88" s="72"/>
      <c r="G88" s="21" t="s">
        <v>1196</v>
      </c>
    </row>
    <row r="89">
      <c r="A89" s="60">
        <v>88.0</v>
      </c>
      <c r="B89" s="61" t="s">
        <v>1197</v>
      </c>
      <c r="C89" s="65"/>
      <c r="D89" s="60">
        <v>20.0</v>
      </c>
      <c r="E89" s="63"/>
      <c r="F89" s="72"/>
      <c r="G89" s="21" t="s">
        <v>1196</v>
      </c>
    </row>
    <row r="90">
      <c r="A90" s="60">
        <v>89.0</v>
      </c>
      <c r="B90" s="61" t="s">
        <v>1198</v>
      </c>
      <c r="C90" s="65"/>
      <c r="D90" s="60">
        <v>20.0</v>
      </c>
      <c r="E90" s="63"/>
      <c r="F90" s="72"/>
      <c r="G90" s="21" t="s">
        <v>1196</v>
      </c>
    </row>
    <row r="91">
      <c r="A91" s="60">
        <v>90.0</v>
      </c>
      <c r="B91" s="61" t="s">
        <v>1199</v>
      </c>
      <c r="C91" s="65"/>
      <c r="D91" s="60">
        <v>11.75</v>
      </c>
      <c r="E91" s="63"/>
      <c r="F91" s="64" t="s">
        <v>53</v>
      </c>
      <c r="G91" s="21" t="s">
        <v>1200</v>
      </c>
    </row>
    <row r="92">
      <c r="A92" s="60">
        <v>91.0</v>
      </c>
      <c r="B92" s="61" t="s">
        <v>1201</v>
      </c>
      <c r="C92" s="65"/>
      <c r="D92" s="60">
        <v>11.75</v>
      </c>
      <c r="E92" s="63"/>
      <c r="F92" s="64" t="s">
        <v>53</v>
      </c>
      <c r="G92" s="21" t="s">
        <v>1200</v>
      </c>
    </row>
    <row r="93">
      <c r="A93" s="60">
        <v>92.0</v>
      </c>
      <c r="B93" s="61" t="s">
        <v>1202</v>
      </c>
      <c r="C93" s="65"/>
      <c r="D93" s="60">
        <v>21.35</v>
      </c>
      <c r="E93" s="63"/>
      <c r="F93" s="64" t="s">
        <v>53</v>
      </c>
      <c r="G93" s="21" t="s">
        <v>1200</v>
      </c>
    </row>
    <row r="94">
      <c r="A94" s="60">
        <v>93.0</v>
      </c>
      <c r="B94" s="61" t="s">
        <v>382</v>
      </c>
      <c r="C94" s="70"/>
      <c r="D94" s="60">
        <v>21.0</v>
      </c>
      <c r="E94" s="63"/>
      <c r="F94" s="66"/>
    </row>
    <row r="95">
      <c r="A95" s="60">
        <v>94.0</v>
      </c>
      <c r="B95" s="61" t="s">
        <v>1203</v>
      </c>
      <c r="C95" s="62" t="s">
        <v>1204</v>
      </c>
      <c r="D95" s="60">
        <v>112.0</v>
      </c>
      <c r="E95" s="63"/>
      <c r="F95" s="64" t="s">
        <v>53</v>
      </c>
    </row>
    <row r="96">
      <c r="A96" s="60">
        <v>95.0</v>
      </c>
      <c r="B96" s="61" t="s">
        <v>367</v>
      </c>
      <c r="C96" s="65"/>
      <c r="D96" s="60">
        <v>19.85</v>
      </c>
      <c r="E96" s="63"/>
      <c r="F96" s="66"/>
    </row>
    <row r="97">
      <c r="A97" s="60">
        <v>96.0</v>
      </c>
      <c r="B97" s="61" t="s">
        <v>354</v>
      </c>
      <c r="C97" s="65"/>
      <c r="D97" s="60">
        <v>11.86</v>
      </c>
      <c r="E97" s="63"/>
      <c r="F97" s="66"/>
    </row>
    <row r="98">
      <c r="A98" s="60">
        <v>97.0</v>
      </c>
      <c r="B98" s="61" t="s">
        <v>1205</v>
      </c>
      <c r="C98" s="65"/>
      <c r="D98" s="60">
        <v>25.0</v>
      </c>
      <c r="E98" s="63"/>
      <c r="F98" s="66"/>
    </row>
    <row r="99">
      <c r="A99" s="60">
        <v>98.0</v>
      </c>
      <c r="B99" s="61" t="s">
        <v>491</v>
      </c>
      <c r="C99" s="65"/>
      <c r="D99" s="60">
        <v>50.0</v>
      </c>
      <c r="E99" s="63"/>
      <c r="F99" s="66"/>
    </row>
    <row r="100">
      <c r="A100" s="60">
        <v>99.0</v>
      </c>
      <c r="B100" s="61" t="s">
        <v>380</v>
      </c>
      <c r="C100" s="65"/>
      <c r="D100" s="60">
        <v>20.1</v>
      </c>
      <c r="E100" s="63"/>
      <c r="F100" s="66"/>
    </row>
    <row r="101">
      <c r="A101" s="60">
        <v>100.0</v>
      </c>
      <c r="B101" s="61" t="s">
        <v>385</v>
      </c>
      <c r="C101" s="65"/>
      <c r="D101" s="60">
        <v>21.35</v>
      </c>
      <c r="E101" s="63"/>
      <c r="F101" s="66"/>
    </row>
    <row r="102">
      <c r="A102" s="60">
        <v>101.0</v>
      </c>
      <c r="B102" s="61" t="s">
        <v>421</v>
      </c>
      <c r="C102" s="70"/>
      <c r="D102" s="60">
        <v>34.1</v>
      </c>
      <c r="E102" s="63"/>
      <c r="F102" s="66"/>
    </row>
    <row r="103">
      <c r="A103" s="60">
        <v>102.0</v>
      </c>
      <c r="B103" s="61" t="s">
        <v>1206</v>
      </c>
      <c r="C103" s="73" t="s">
        <v>1156</v>
      </c>
      <c r="D103" s="60">
        <v>24.0</v>
      </c>
      <c r="E103" s="63"/>
      <c r="F103" s="66"/>
    </row>
    <row r="104">
      <c r="A104" s="60">
        <v>103.0</v>
      </c>
      <c r="B104" s="61" t="s">
        <v>430</v>
      </c>
      <c r="C104" s="62" t="s">
        <v>1139</v>
      </c>
      <c r="D104" s="60">
        <v>120.0</v>
      </c>
      <c r="E104" s="63"/>
      <c r="F104" s="66"/>
    </row>
    <row r="105">
      <c r="A105" s="60">
        <v>104.0</v>
      </c>
      <c r="B105" s="61" t="s">
        <v>1207</v>
      </c>
      <c r="C105" s="65"/>
      <c r="D105" s="60">
        <v>238.5</v>
      </c>
      <c r="E105" s="63"/>
      <c r="F105" s="64" t="s">
        <v>53</v>
      </c>
      <c r="G105" s="21" t="s">
        <v>1208</v>
      </c>
    </row>
    <row r="106">
      <c r="A106" s="60">
        <v>105.0</v>
      </c>
      <c r="B106" s="61" t="s">
        <v>1209</v>
      </c>
      <c r="C106" s="65"/>
      <c r="D106" s="60">
        <v>238.5</v>
      </c>
      <c r="E106" s="63"/>
      <c r="F106" s="64" t="s">
        <v>53</v>
      </c>
      <c r="G106" s="21" t="s">
        <v>1208</v>
      </c>
    </row>
    <row r="107">
      <c r="A107" s="60">
        <v>106.0</v>
      </c>
      <c r="B107" s="61" t="s">
        <v>1210</v>
      </c>
      <c r="C107" s="70"/>
      <c r="D107" s="60">
        <v>262.4</v>
      </c>
      <c r="E107" s="63"/>
      <c r="F107" s="64" t="s">
        <v>53</v>
      </c>
      <c r="G107" s="21" t="s">
        <v>1208</v>
      </c>
    </row>
    <row r="108">
      <c r="A108" s="60">
        <v>107.0</v>
      </c>
      <c r="B108" s="61" t="s">
        <v>1211</v>
      </c>
      <c r="C108" s="73" t="s">
        <v>1174</v>
      </c>
      <c r="D108" s="60">
        <v>446.8</v>
      </c>
      <c r="E108" s="63"/>
      <c r="F108" s="64" t="s">
        <v>53</v>
      </c>
      <c r="G108" s="21" t="s">
        <v>1212</v>
      </c>
    </row>
    <row r="109">
      <c r="A109" s="60">
        <v>108.0</v>
      </c>
      <c r="B109" s="61" t="s">
        <v>1213</v>
      </c>
      <c r="C109" s="62" t="s">
        <v>1179</v>
      </c>
      <c r="D109" s="60">
        <v>275.0</v>
      </c>
      <c r="E109" s="63"/>
      <c r="F109" s="64" t="s">
        <v>53</v>
      </c>
      <c r="G109" s="21" t="s">
        <v>1214</v>
      </c>
    </row>
    <row r="110">
      <c r="A110" s="60">
        <v>109.0</v>
      </c>
      <c r="B110" s="61" t="s">
        <v>1215</v>
      </c>
      <c r="C110" s="65"/>
      <c r="D110" s="60">
        <v>20.0</v>
      </c>
      <c r="E110" s="63"/>
      <c r="F110" s="64" t="s">
        <v>53</v>
      </c>
      <c r="G110" s="21" t="s">
        <v>1214</v>
      </c>
    </row>
    <row r="111">
      <c r="A111" s="60">
        <v>110.0</v>
      </c>
      <c r="B111" s="61" t="s">
        <v>1216</v>
      </c>
      <c r="C111" s="70"/>
      <c r="D111" s="60">
        <v>10.0</v>
      </c>
      <c r="E111" s="63"/>
      <c r="F111" s="64" t="s">
        <v>53</v>
      </c>
      <c r="G111" s="21" t="s">
        <v>1214</v>
      </c>
    </row>
    <row r="112">
      <c r="A112" s="60">
        <v>111.0</v>
      </c>
      <c r="B112" s="61" t="s">
        <v>1217</v>
      </c>
      <c r="C112" s="62" t="s">
        <v>1160</v>
      </c>
      <c r="D112" s="60">
        <v>117.0</v>
      </c>
      <c r="E112" s="63"/>
      <c r="F112" s="64" t="s">
        <v>53</v>
      </c>
    </row>
    <row r="113">
      <c r="A113" s="60">
        <v>112.0</v>
      </c>
      <c r="B113" s="61" t="s">
        <v>1218</v>
      </c>
      <c r="C113" s="65"/>
      <c r="D113" s="60">
        <v>20.0</v>
      </c>
      <c r="E113" s="63"/>
      <c r="F113" s="64" t="s">
        <v>53</v>
      </c>
    </row>
    <row r="114">
      <c r="A114" s="60">
        <v>113.0</v>
      </c>
      <c r="B114" s="61" t="s">
        <v>1219</v>
      </c>
      <c r="C114" s="65"/>
      <c r="D114" s="60">
        <v>20.0</v>
      </c>
      <c r="E114" s="63"/>
      <c r="F114" s="64" t="s">
        <v>53</v>
      </c>
    </row>
    <row r="115">
      <c r="A115" s="60">
        <v>114.0</v>
      </c>
      <c r="B115" s="61" t="s">
        <v>1220</v>
      </c>
      <c r="C115" s="70"/>
      <c r="D115" s="60">
        <v>20.0</v>
      </c>
      <c r="E115" s="63"/>
      <c r="F115" s="64" t="s">
        <v>53</v>
      </c>
    </row>
    <row r="116">
      <c r="A116" s="60">
        <v>115.0</v>
      </c>
      <c r="B116" s="61" t="s">
        <v>1221</v>
      </c>
      <c r="C116" s="62" t="s">
        <v>1167</v>
      </c>
      <c r="D116" s="60">
        <v>20.6</v>
      </c>
      <c r="E116" s="63"/>
      <c r="F116" s="64" t="s">
        <v>53</v>
      </c>
    </row>
    <row r="117">
      <c r="A117" s="60">
        <v>116.0</v>
      </c>
      <c r="B117" s="61" t="s">
        <v>1222</v>
      </c>
      <c r="C117" s="65"/>
      <c r="D117" s="60">
        <v>20.6</v>
      </c>
      <c r="E117" s="63"/>
      <c r="F117" s="64" t="s">
        <v>53</v>
      </c>
    </row>
    <row r="118">
      <c r="A118" s="60">
        <v>117.0</v>
      </c>
      <c r="B118" s="61" t="s">
        <v>333</v>
      </c>
      <c r="C118" s="65"/>
      <c r="D118" s="60">
        <v>0.8</v>
      </c>
      <c r="E118" s="63"/>
      <c r="F118" s="66"/>
    </row>
    <row r="119">
      <c r="A119" s="60">
        <v>118.0</v>
      </c>
      <c r="B119" s="61" t="s">
        <v>337</v>
      </c>
      <c r="C119" s="65"/>
      <c r="D119" s="60">
        <v>0.8</v>
      </c>
      <c r="E119" s="63"/>
      <c r="F119" s="66"/>
    </row>
    <row r="120">
      <c r="A120" s="60">
        <v>119.0</v>
      </c>
      <c r="B120" s="61" t="s">
        <v>338</v>
      </c>
      <c r="C120" s="65"/>
      <c r="D120" s="60">
        <v>0.8</v>
      </c>
      <c r="E120" s="63"/>
      <c r="F120" s="66"/>
    </row>
    <row r="121">
      <c r="A121" s="60">
        <v>120.0</v>
      </c>
      <c r="B121" s="61" t="s">
        <v>339</v>
      </c>
      <c r="C121" s="65"/>
      <c r="D121" s="60">
        <v>0.8</v>
      </c>
      <c r="E121" s="63"/>
      <c r="F121" s="66"/>
    </row>
    <row r="122">
      <c r="A122" s="60">
        <v>121.0</v>
      </c>
      <c r="B122" s="61" t="s">
        <v>1223</v>
      </c>
      <c r="C122" s="65"/>
      <c r="D122" s="60">
        <v>0.8</v>
      </c>
      <c r="E122" s="63"/>
      <c r="F122" s="66"/>
    </row>
    <row r="123">
      <c r="A123" s="60">
        <v>122.0</v>
      </c>
      <c r="B123" s="61" t="s">
        <v>1224</v>
      </c>
      <c r="C123" s="70"/>
      <c r="D123" s="60">
        <v>125.0</v>
      </c>
      <c r="E123" s="63"/>
      <c r="F123" s="64" t="s">
        <v>53</v>
      </c>
    </row>
    <row r="124">
      <c r="A124" s="60">
        <v>123.0</v>
      </c>
      <c r="B124" s="61" t="s">
        <v>1225</v>
      </c>
      <c r="C124" s="62" t="s">
        <v>1177</v>
      </c>
      <c r="D124" s="60">
        <v>50.8</v>
      </c>
      <c r="E124" s="63"/>
      <c r="F124" s="64" t="s">
        <v>53</v>
      </c>
    </row>
    <row r="125">
      <c r="A125" s="60">
        <v>124.0</v>
      </c>
      <c r="B125" s="61" t="s">
        <v>1226</v>
      </c>
      <c r="C125" s="65"/>
      <c r="D125" s="60">
        <v>50.8</v>
      </c>
      <c r="E125" s="63"/>
      <c r="F125" s="64" t="s">
        <v>53</v>
      </c>
    </row>
    <row r="126">
      <c r="A126" s="60">
        <v>125.0</v>
      </c>
      <c r="B126" s="61" t="s">
        <v>1227</v>
      </c>
      <c r="C126" s="65"/>
      <c r="D126" s="60">
        <v>50.0</v>
      </c>
      <c r="E126" s="63"/>
      <c r="F126" s="64" t="s">
        <v>53</v>
      </c>
    </row>
    <row r="127">
      <c r="A127" s="60">
        <v>126.0</v>
      </c>
      <c r="B127" s="61" t="s">
        <v>1228</v>
      </c>
      <c r="C127" s="65"/>
      <c r="D127" s="60">
        <v>60.0</v>
      </c>
      <c r="E127" s="63"/>
      <c r="F127" s="64" t="s">
        <v>53</v>
      </c>
    </row>
    <row r="128">
      <c r="A128" s="60">
        <v>127.0</v>
      </c>
      <c r="B128" s="61" t="s">
        <v>1229</v>
      </c>
      <c r="C128" s="65"/>
      <c r="D128" s="60">
        <v>60.0</v>
      </c>
      <c r="E128" s="63"/>
      <c r="F128" s="64" t="s">
        <v>53</v>
      </c>
    </row>
    <row r="129">
      <c r="A129" s="60">
        <v>128.0</v>
      </c>
      <c r="B129" s="61" t="s">
        <v>1230</v>
      </c>
      <c r="C129" s="70"/>
      <c r="D129" s="60">
        <v>60.0</v>
      </c>
      <c r="E129" s="63"/>
      <c r="F129" s="64" t="s">
        <v>53</v>
      </c>
    </row>
    <row r="130">
      <c r="A130" s="60">
        <v>129.0</v>
      </c>
      <c r="B130" s="61" t="s">
        <v>1231</v>
      </c>
      <c r="C130" s="62" t="s">
        <v>1204</v>
      </c>
      <c r="D130" s="60">
        <v>117.5</v>
      </c>
      <c r="E130" s="63"/>
      <c r="F130" s="64" t="s">
        <v>53</v>
      </c>
    </row>
    <row r="131">
      <c r="A131" s="60">
        <v>130.0</v>
      </c>
      <c r="B131" s="61" t="s">
        <v>1232</v>
      </c>
      <c r="C131" s="65"/>
      <c r="D131" s="60">
        <v>128.8</v>
      </c>
      <c r="E131" s="63"/>
      <c r="F131" s="64" t="s">
        <v>53</v>
      </c>
    </row>
    <row r="132">
      <c r="A132" s="60">
        <v>131.0</v>
      </c>
      <c r="B132" s="61" t="s">
        <v>1233</v>
      </c>
      <c r="C132" s="65"/>
      <c r="D132" s="60">
        <v>149.0</v>
      </c>
      <c r="E132" s="63"/>
      <c r="F132" s="64" t="s">
        <v>53</v>
      </c>
    </row>
    <row r="133">
      <c r="A133" s="60">
        <v>132.0</v>
      </c>
      <c r="B133" s="61" t="s">
        <v>1234</v>
      </c>
      <c r="C133" s="65"/>
      <c r="D133" s="60">
        <v>130.0</v>
      </c>
      <c r="E133" s="63"/>
      <c r="F133" s="64" t="s">
        <v>53</v>
      </c>
    </row>
    <row r="134">
      <c r="A134" s="60">
        <v>133.0</v>
      </c>
      <c r="B134" s="61" t="s">
        <v>1235</v>
      </c>
      <c r="C134" s="65"/>
      <c r="D134" s="60">
        <v>130.0</v>
      </c>
      <c r="E134" s="63"/>
      <c r="F134" s="64" t="s">
        <v>53</v>
      </c>
    </row>
    <row r="135">
      <c r="A135" s="60">
        <v>134.0</v>
      </c>
      <c r="B135" s="61" t="s">
        <v>1236</v>
      </c>
      <c r="C135" s="70"/>
      <c r="D135" s="60">
        <v>162.58</v>
      </c>
      <c r="E135" s="63"/>
      <c r="F135" s="64" t="s">
        <v>53</v>
      </c>
    </row>
    <row r="136">
      <c r="A136" s="60">
        <v>135.0</v>
      </c>
      <c r="B136" s="61" t="s">
        <v>1237</v>
      </c>
      <c r="C136" s="62" t="s">
        <v>1192</v>
      </c>
      <c r="D136" s="60">
        <v>40.0</v>
      </c>
      <c r="E136" s="63"/>
      <c r="F136" s="66"/>
    </row>
    <row r="137">
      <c r="A137" s="60">
        <v>136.0</v>
      </c>
      <c r="B137" s="61" t="s">
        <v>1238</v>
      </c>
      <c r="C137" s="65"/>
      <c r="D137" s="60">
        <v>40.0</v>
      </c>
      <c r="E137" s="63"/>
      <c r="F137" s="66"/>
    </row>
    <row r="138">
      <c r="A138" s="60">
        <v>137.0</v>
      </c>
      <c r="B138" s="61" t="s">
        <v>1239</v>
      </c>
      <c r="C138" s="65"/>
      <c r="D138" s="60">
        <v>150.0</v>
      </c>
      <c r="E138" s="63"/>
      <c r="F138" s="64" t="s">
        <v>53</v>
      </c>
      <c r="G138" s="21" t="s">
        <v>1240</v>
      </c>
    </row>
    <row r="139">
      <c r="A139" s="60">
        <v>138.0</v>
      </c>
      <c r="B139" s="61" t="s">
        <v>1241</v>
      </c>
      <c r="C139" s="65"/>
      <c r="D139" s="60">
        <v>40.0</v>
      </c>
      <c r="E139" s="63"/>
      <c r="F139" s="64" t="s">
        <v>53</v>
      </c>
    </row>
    <row r="140">
      <c r="A140" s="60">
        <v>139.0</v>
      </c>
      <c r="B140" s="61" t="s">
        <v>1242</v>
      </c>
      <c r="C140" s="65"/>
      <c r="D140" s="60">
        <v>40.0</v>
      </c>
      <c r="E140" s="63"/>
      <c r="F140" s="64" t="s">
        <v>53</v>
      </c>
    </row>
    <row r="141">
      <c r="A141" s="60">
        <v>140.0</v>
      </c>
      <c r="B141" s="61" t="s">
        <v>1243</v>
      </c>
      <c r="C141" s="65"/>
      <c r="D141" s="60">
        <v>30.0</v>
      </c>
      <c r="E141" s="63"/>
      <c r="F141" s="64" t="s">
        <v>53</v>
      </c>
    </row>
    <row r="142">
      <c r="A142" s="60">
        <v>141.0</v>
      </c>
      <c r="B142" s="61" t="s">
        <v>364</v>
      </c>
      <c r="C142" s="65"/>
      <c r="D142" s="60">
        <v>19.83</v>
      </c>
      <c r="E142" s="63"/>
      <c r="F142" s="66"/>
    </row>
    <row r="143">
      <c r="A143" s="60">
        <v>142.0</v>
      </c>
      <c r="B143" s="61" t="s">
        <v>1244</v>
      </c>
      <c r="C143" s="65"/>
      <c r="D143" s="60">
        <v>40.0</v>
      </c>
      <c r="E143" s="63"/>
      <c r="F143" s="64" t="s">
        <v>53</v>
      </c>
    </row>
    <row r="144">
      <c r="A144" s="60">
        <v>143.0</v>
      </c>
      <c r="B144" s="61" t="s">
        <v>1245</v>
      </c>
      <c r="C144" s="65"/>
      <c r="D144" s="60">
        <v>40.0</v>
      </c>
      <c r="E144" s="63"/>
      <c r="F144" s="64" t="s">
        <v>53</v>
      </c>
    </row>
    <row r="145">
      <c r="A145" s="60">
        <v>144.0</v>
      </c>
      <c r="B145" s="61" t="s">
        <v>1246</v>
      </c>
      <c r="C145" s="65"/>
      <c r="D145" s="60">
        <v>12.5</v>
      </c>
      <c r="E145" s="63"/>
      <c r="F145" s="72"/>
      <c r="G145" s="21" t="s">
        <v>1247</v>
      </c>
    </row>
    <row r="146">
      <c r="A146" s="60">
        <v>145.0</v>
      </c>
      <c r="B146" s="61" t="s">
        <v>1248</v>
      </c>
      <c r="C146" s="70"/>
      <c r="D146" s="60">
        <v>12.5</v>
      </c>
      <c r="E146" s="63"/>
      <c r="F146" s="72"/>
      <c r="G146" s="21" t="s">
        <v>1247</v>
      </c>
    </row>
    <row r="147">
      <c r="A147" s="60">
        <v>146.0</v>
      </c>
      <c r="B147" s="61" t="s">
        <v>1249</v>
      </c>
      <c r="C147" s="62" t="s">
        <v>1153</v>
      </c>
      <c r="D147" s="60">
        <v>845.75</v>
      </c>
      <c r="E147" s="63"/>
      <c r="F147" s="64" t="s">
        <v>53</v>
      </c>
    </row>
    <row r="148">
      <c r="A148" s="60">
        <v>147.0</v>
      </c>
      <c r="B148" s="61" t="s">
        <v>1250</v>
      </c>
      <c r="C148" s="65"/>
      <c r="D148" s="60">
        <v>109.65</v>
      </c>
      <c r="E148" s="63"/>
      <c r="F148" s="64" t="s">
        <v>53</v>
      </c>
    </row>
    <row r="149">
      <c r="A149" s="60">
        <v>148.0</v>
      </c>
      <c r="B149" s="61" t="s">
        <v>1251</v>
      </c>
      <c r="C149" s="65"/>
      <c r="D149" s="60">
        <v>109.65</v>
      </c>
      <c r="E149" s="63"/>
      <c r="F149" s="64" t="s">
        <v>53</v>
      </c>
    </row>
    <row r="150">
      <c r="A150" s="60">
        <v>149.0</v>
      </c>
      <c r="B150" s="61" t="s">
        <v>1252</v>
      </c>
      <c r="C150" s="65"/>
      <c r="D150" s="60">
        <v>109.65</v>
      </c>
      <c r="E150" s="63"/>
      <c r="F150" s="64" t="s">
        <v>53</v>
      </c>
    </row>
    <row r="151">
      <c r="A151" s="60">
        <v>150.0</v>
      </c>
      <c r="B151" s="61" t="s">
        <v>1253</v>
      </c>
      <c r="C151" s="65"/>
      <c r="D151" s="60">
        <v>188.0</v>
      </c>
      <c r="E151" s="63"/>
      <c r="F151" s="64" t="s">
        <v>53</v>
      </c>
    </row>
    <row r="152">
      <c r="A152" s="60">
        <v>151.0</v>
      </c>
      <c r="B152" s="61" t="s">
        <v>1254</v>
      </c>
      <c r="C152" s="65"/>
      <c r="D152" s="60">
        <v>109.65</v>
      </c>
      <c r="E152" s="63"/>
      <c r="F152" s="64" t="s">
        <v>53</v>
      </c>
    </row>
    <row r="153">
      <c r="A153" s="60">
        <v>152.0</v>
      </c>
      <c r="B153" s="61" t="s">
        <v>1255</v>
      </c>
      <c r="C153" s="65"/>
      <c r="D153" s="60">
        <v>109.65</v>
      </c>
      <c r="E153" s="63"/>
      <c r="F153" s="64" t="s">
        <v>53</v>
      </c>
    </row>
    <row r="154">
      <c r="A154" s="60">
        <v>153.0</v>
      </c>
      <c r="B154" s="61" t="s">
        <v>1256</v>
      </c>
      <c r="C154" s="65"/>
      <c r="D154" s="60">
        <v>109.65</v>
      </c>
      <c r="E154" s="63"/>
      <c r="F154" s="64" t="s">
        <v>53</v>
      </c>
    </row>
    <row r="155">
      <c r="A155" s="60">
        <v>154.0</v>
      </c>
      <c r="B155" s="61" t="s">
        <v>1257</v>
      </c>
      <c r="C155" s="65"/>
      <c r="D155" s="60">
        <v>188.0</v>
      </c>
      <c r="E155" s="63"/>
      <c r="F155" s="64" t="s">
        <v>53</v>
      </c>
    </row>
    <row r="156">
      <c r="A156" s="60">
        <v>155.0</v>
      </c>
      <c r="B156" s="61" t="s">
        <v>1258</v>
      </c>
      <c r="C156" s="70"/>
      <c r="D156" s="60">
        <v>200.0</v>
      </c>
      <c r="E156" s="63"/>
      <c r="F156" s="64" t="s">
        <v>53</v>
      </c>
    </row>
    <row r="157">
      <c r="A157" s="60">
        <v>156.0</v>
      </c>
      <c r="B157" s="61" t="s">
        <v>1259</v>
      </c>
      <c r="C157" s="62" t="s">
        <v>1182</v>
      </c>
      <c r="D157" s="60">
        <v>100.75</v>
      </c>
      <c r="E157" s="63"/>
      <c r="F157" s="64" t="s">
        <v>53</v>
      </c>
    </row>
    <row r="158">
      <c r="A158" s="60">
        <v>157.0</v>
      </c>
      <c r="B158" s="61" t="s">
        <v>1260</v>
      </c>
      <c r="C158" s="65"/>
      <c r="D158" s="60">
        <v>159.58</v>
      </c>
      <c r="E158" s="63"/>
      <c r="F158" s="64" t="s">
        <v>53</v>
      </c>
    </row>
    <row r="159">
      <c r="A159" s="60">
        <v>158.0</v>
      </c>
      <c r="B159" s="61" t="s">
        <v>1261</v>
      </c>
      <c r="C159" s="65"/>
      <c r="D159" s="60">
        <v>100.75</v>
      </c>
      <c r="E159" s="63"/>
      <c r="F159" s="64" t="s">
        <v>53</v>
      </c>
    </row>
    <row r="160">
      <c r="A160" s="60">
        <v>159.0</v>
      </c>
      <c r="B160" s="61" t="s">
        <v>1262</v>
      </c>
      <c r="C160" s="65"/>
      <c r="D160" s="60">
        <v>100.75</v>
      </c>
      <c r="E160" s="63"/>
      <c r="F160" s="64" t="s">
        <v>53</v>
      </c>
    </row>
    <row r="161">
      <c r="A161" s="60">
        <v>160.0</v>
      </c>
      <c r="B161" s="61" t="s">
        <v>1263</v>
      </c>
      <c r="C161" s="65"/>
      <c r="D161" s="60">
        <v>100.75</v>
      </c>
      <c r="E161" s="63"/>
      <c r="F161" s="64" t="s">
        <v>53</v>
      </c>
    </row>
    <row r="162">
      <c r="A162" s="60">
        <v>161.0</v>
      </c>
      <c r="B162" s="61" t="s">
        <v>1264</v>
      </c>
      <c r="C162" s="65"/>
      <c r="D162" s="60">
        <v>195.0</v>
      </c>
      <c r="E162" s="63"/>
      <c r="F162" s="64" t="s">
        <v>53</v>
      </c>
    </row>
    <row r="163">
      <c r="A163" s="60">
        <v>162.0</v>
      </c>
      <c r="B163" s="61" t="s">
        <v>1265</v>
      </c>
      <c r="C163" s="65"/>
      <c r="D163" s="60">
        <v>153.0</v>
      </c>
      <c r="E163" s="63"/>
      <c r="F163" s="64" t="s">
        <v>53</v>
      </c>
    </row>
    <row r="164">
      <c r="A164" s="60">
        <v>163.0</v>
      </c>
      <c r="B164" s="61" t="s">
        <v>1266</v>
      </c>
      <c r="C164" s="65"/>
      <c r="D164" s="60">
        <v>153.0</v>
      </c>
      <c r="E164" s="63"/>
      <c r="F164" s="64" t="s">
        <v>53</v>
      </c>
    </row>
    <row r="165">
      <c r="A165" s="60">
        <v>164.0</v>
      </c>
      <c r="B165" s="61" t="s">
        <v>1267</v>
      </c>
      <c r="C165" s="65"/>
      <c r="D165" s="60">
        <v>195.0</v>
      </c>
      <c r="E165" s="63"/>
      <c r="F165" s="64" t="s">
        <v>53</v>
      </c>
    </row>
    <row r="166">
      <c r="A166" s="60">
        <v>165.0</v>
      </c>
      <c r="B166" s="61" t="s">
        <v>1268</v>
      </c>
      <c r="C166" s="65"/>
      <c r="D166" s="60">
        <v>112.45</v>
      </c>
      <c r="E166" s="63"/>
      <c r="F166" s="64" t="s">
        <v>53</v>
      </c>
    </row>
    <row r="167">
      <c r="A167" s="60">
        <v>166.0</v>
      </c>
      <c r="B167" s="61" t="s">
        <v>1269</v>
      </c>
      <c r="C167" s="65"/>
      <c r="D167" s="60">
        <v>112.45</v>
      </c>
      <c r="E167" s="63"/>
      <c r="F167" s="64" t="s">
        <v>53</v>
      </c>
    </row>
    <row r="168">
      <c r="A168" s="60">
        <v>167.0</v>
      </c>
      <c r="B168" s="61" t="s">
        <v>1270</v>
      </c>
      <c r="C168" s="65"/>
      <c r="D168" s="60">
        <v>112.45</v>
      </c>
      <c r="E168" s="63"/>
      <c r="F168" s="64" t="s">
        <v>53</v>
      </c>
    </row>
    <row r="169">
      <c r="A169" s="60">
        <v>168.0</v>
      </c>
      <c r="B169" s="61" t="s">
        <v>1271</v>
      </c>
      <c r="C169" s="65"/>
      <c r="D169" s="60">
        <v>188.91</v>
      </c>
      <c r="E169" s="63"/>
      <c r="F169" s="64" t="s">
        <v>53</v>
      </c>
    </row>
    <row r="170">
      <c r="A170" s="60">
        <v>169.0</v>
      </c>
      <c r="B170" s="61" t="s">
        <v>1272</v>
      </c>
      <c r="C170" s="65"/>
      <c r="D170" s="60">
        <v>112.45</v>
      </c>
      <c r="E170" s="63"/>
      <c r="F170" s="64" t="s">
        <v>53</v>
      </c>
    </row>
    <row r="171">
      <c r="A171" s="60">
        <v>170.0</v>
      </c>
      <c r="B171" s="61" t="s">
        <v>1273</v>
      </c>
      <c r="C171" s="65"/>
      <c r="D171" s="60">
        <v>112.45</v>
      </c>
      <c r="E171" s="63"/>
      <c r="F171" s="64" t="s">
        <v>53</v>
      </c>
    </row>
    <row r="172">
      <c r="A172" s="60">
        <v>171.0</v>
      </c>
      <c r="B172" s="61" t="s">
        <v>1274</v>
      </c>
      <c r="C172" s="65"/>
      <c r="D172" s="60">
        <v>112.45</v>
      </c>
      <c r="E172" s="63"/>
      <c r="F172" s="64" t="s">
        <v>53</v>
      </c>
    </row>
    <row r="173">
      <c r="A173" s="60">
        <v>172.0</v>
      </c>
      <c r="B173" s="61" t="s">
        <v>1275</v>
      </c>
      <c r="C173" s="65"/>
      <c r="D173" s="60">
        <v>188.91</v>
      </c>
      <c r="E173" s="63"/>
      <c r="F173" s="64" t="s">
        <v>53</v>
      </c>
    </row>
    <row r="174">
      <c r="A174" s="60">
        <v>173.0</v>
      </c>
      <c r="B174" s="61" t="s">
        <v>1276</v>
      </c>
      <c r="C174" s="65"/>
      <c r="D174" s="60">
        <v>112.45</v>
      </c>
      <c r="E174" s="63"/>
      <c r="F174" s="64" t="s">
        <v>53</v>
      </c>
    </row>
    <row r="175">
      <c r="A175" s="60">
        <v>174.0</v>
      </c>
      <c r="B175" s="61" t="s">
        <v>1277</v>
      </c>
      <c r="C175" s="65"/>
      <c r="D175" s="60">
        <v>112.45</v>
      </c>
      <c r="E175" s="63"/>
      <c r="F175" s="64" t="s">
        <v>53</v>
      </c>
    </row>
    <row r="176">
      <c r="A176" s="60">
        <v>175.0</v>
      </c>
      <c r="B176" s="61" t="s">
        <v>1278</v>
      </c>
      <c r="C176" s="65"/>
      <c r="D176" s="60">
        <v>112.45</v>
      </c>
      <c r="E176" s="63"/>
      <c r="F176" s="64" t="s">
        <v>53</v>
      </c>
    </row>
    <row r="177">
      <c r="A177" s="60">
        <v>176.0</v>
      </c>
      <c r="B177" s="61" t="s">
        <v>1279</v>
      </c>
      <c r="C177" s="70"/>
      <c r="D177" s="60">
        <v>188.91</v>
      </c>
      <c r="E177" s="63"/>
      <c r="F177" s="64" t="s">
        <v>53</v>
      </c>
    </row>
    <row r="178">
      <c r="A178" s="60">
        <v>177.0</v>
      </c>
      <c r="B178" s="61" t="s">
        <v>1280</v>
      </c>
      <c r="C178" s="62" t="s">
        <v>1183</v>
      </c>
      <c r="D178" s="60">
        <v>125.0</v>
      </c>
      <c r="E178" s="63"/>
      <c r="F178" s="64" t="s">
        <v>53</v>
      </c>
    </row>
    <row r="179">
      <c r="A179" s="60">
        <v>178.0</v>
      </c>
      <c r="B179" s="61" t="s">
        <v>1281</v>
      </c>
      <c r="C179" s="65"/>
      <c r="D179" s="60">
        <v>823.42</v>
      </c>
      <c r="E179" s="63"/>
      <c r="F179" s="64" t="s">
        <v>53</v>
      </c>
    </row>
    <row r="180">
      <c r="A180" s="60">
        <v>179.0</v>
      </c>
      <c r="B180" s="61" t="s">
        <v>1282</v>
      </c>
      <c r="C180" s="65"/>
      <c r="D180" s="60">
        <v>926.5</v>
      </c>
      <c r="E180" s="63"/>
      <c r="F180" s="64" t="s">
        <v>53</v>
      </c>
    </row>
    <row r="181">
      <c r="A181" s="60">
        <v>180.0</v>
      </c>
      <c r="B181" s="61" t="s">
        <v>1283</v>
      </c>
      <c r="C181" s="65"/>
      <c r="D181" s="60">
        <v>926.5</v>
      </c>
      <c r="E181" s="63"/>
      <c r="F181" s="64" t="s">
        <v>53</v>
      </c>
    </row>
    <row r="182">
      <c r="A182" s="60">
        <v>181.0</v>
      </c>
      <c r="B182" s="61" t="s">
        <v>1284</v>
      </c>
      <c r="C182" s="65"/>
      <c r="D182" s="60">
        <v>254.8</v>
      </c>
      <c r="E182" s="63"/>
      <c r="F182" s="64" t="s">
        <v>53</v>
      </c>
    </row>
    <row r="183">
      <c r="A183" s="60">
        <v>182.0</v>
      </c>
      <c r="B183" s="61" t="s">
        <v>1285</v>
      </c>
      <c r="C183" s="65"/>
      <c r="D183" s="60">
        <v>254.8</v>
      </c>
      <c r="E183" s="63"/>
      <c r="F183" s="64" t="s">
        <v>53</v>
      </c>
    </row>
    <row r="184">
      <c r="A184" s="60">
        <v>183.0</v>
      </c>
      <c r="B184" s="61" t="s">
        <v>1286</v>
      </c>
      <c r="C184" s="65"/>
      <c r="D184" s="60">
        <v>0.0</v>
      </c>
      <c r="E184" s="63"/>
      <c r="F184" s="72"/>
      <c r="G184" s="21" t="s">
        <v>1287</v>
      </c>
    </row>
    <row r="185">
      <c r="A185" s="60">
        <v>184.0</v>
      </c>
      <c r="B185" s="61" t="s">
        <v>1288</v>
      </c>
      <c r="C185" s="65"/>
      <c r="D185" s="60">
        <v>0.0</v>
      </c>
      <c r="E185" s="63"/>
      <c r="F185" s="72"/>
      <c r="G185" s="21" t="s">
        <v>1287</v>
      </c>
    </row>
    <row r="186">
      <c r="A186" s="60">
        <v>185.0</v>
      </c>
      <c r="B186" s="61" t="s">
        <v>1289</v>
      </c>
      <c r="C186" s="65"/>
      <c r="D186" s="60">
        <v>145.0</v>
      </c>
      <c r="E186" s="63"/>
      <c r="F186" s="64" t="s">
        <v>53</v>
      </c>
    </row>
    <row r="187">
      <c r="A187" s="60">
        <v>186.0</v>
      </c>
      <c r="B187" s="61" t="s">
        <v>1290</v>
      </c>
      <c r="C187" s="65"/>
      <c r="D187" s="60">
        <v>145.0</v>
      </c>
      <c r="E187" s="63"/>
      <c r="F187" s="64" t="s">
        <v>53</v>
      </c>
    </row>
    <row r="188">
      <c r="A188" s="60">
        <v>187.0</v>
      </c>
      <c r="B188" s="61" t="s">
        <v>1291</v>
      </c>
      <c r="C188" s="65"/>
      <c r="D188" s="60">
        <v>145.0</v>
      </c>
      <c r="E188" s="63"/>
      <c r="F188" s="64" t="s">
        <v>53</v>
      </c>
    </row>
    <row r="189">
      <c r="A189" s="60">
        <v>188.0</v>
      </c>
      <c r="B189" s="61" t="s">
        <v>1292</v>
      </c>
      <c r="C189" s="65"/>
      <c r="D189" s="60">
        <v>225.0</v>
      </c>
      <c r="E189" s="63"/>
      <c r="F189" s="64" t="s">
        <v>53</v>
      </c>
    </row>
    <row r="190">
      <c r="A190" s="60">
        <v>189.0</v>
      </c>
      <c r="B190" s="61" t="s">
        <v>1293</v>
      </c>
      <c r="C190" s="65"/>
      <c r="D190" s="60">
        <v>145.0</v>
      </c>
      <c r="E190" s="63"/>
      <c r="F190" s="64" t="s">
        <v>53</v>
      </c>
    </row>
    <row r="191">
      <c r="A191" s="60">
        <v>190.0</v>
      </c>
      <c r="B191" s="61" t="s">
        <v>1294</v>
      </c>
      <c r="C191" s="65"/>
      <c r="D191" s="60">
        <v>145.0</v>
      </c>
      <c r="E191" s="63"/>
      <c r="F191" s="64" t="s">
        <v>53</v>
      </c>
    </row>
    <row r="192">
      <c r="A192" s="60">
        <v>191.0</v>
      </c>
      <c r="B192" s="61" t="s">
        <v>1295</v>
      </c>
      <c r="C192" s="65"/>
      <c r="D192" s="60">
        <v>161.0</v>
      </c>
      <c r="E192" s="63"/>
      <c r="F192" s="64" t="s">
        <v>53</v>
      </c>
    </row>
    <row r="193">
      <c r="A193" s="60">
        <v>192.0</v>
      </c>
      <c r="B193" s="61" t="s">
        <v>1296</v>
      </c>
      <c r="C193" s="65"/>
      <c r="D193" s="60">
        <v>167.6</v>
      </c>
      <c r="E193" s="63"/>
      <c r="F193" s="64" t="s">
        <v>53</v>
      </c>
    </row>
    <row r="194">
      <c r="A194" s="60">
        <v>193.0</v>
      </c>
      <c r="B194" s="61" t="s">
        <v>1297</v>
      </c>
      <c r="C194" s="70"/>
      <c r="D194" s="60">
        <v>81.0</v>
      </c>
      <c r="E194" s="63"/>
      <c r="F194" s="64" t="s">
        <v>53</v>
      </c>
    </row>
    <row r="195">
      <c r="A195" s="60">
        <v>194.0</v>
      </c>
      <c r="B195" s="61" t="s">
        <v>1298</v>
      </c>
      <c r="C195" s="62" t="s">
        <v>1299</v>
      </c>
      <c r="D195" s="60">
        <v>107.86</v>
      </c>
      <c r="E195" s="63"/>
      <c r="F195" s="64" t="s">
        <v>53</v>
      </c>
    </row>
    <row r="196">
      <c r="A196" s="60">
        <v>195.0</v>
      </c>
      <c r="B196" s="61" t="s">
        <v>1300</v>
      </c>
      <c r="C196" s="65"/>
      <c r="D196" s="60">
        <v>107.86</v>
      </c>
      <c r="E196" s="63"/>
      <c r="F196" s="64" t="s">
        <v>53</v>
      </c>
    </row>
    <row r="197">
      <c r="A197" s="60">
        <v>196.0</v>
      </c>
      <c r="B197" s="61" t="s">
        <v>1301</v>
      </c>
      <c r="C197" s="65"/>
      <c r="D197" s="60">
        <v>107.86</v>
      </c>
      <c r="E197" s="63"/>
      <c r="F197" s="64" t="s">
        <v>53</v>
      </c>
    </row>
    <row r="198">
      <c r="A198" s="60">
        <v>197.0</v>
      </c>
      <c r="B198" s="61" t="s">
        <v>1302</v>
      </c>
      <c r="C198" s="65"/>
      <c r="D198" s="60">
        <v>185.0</v>
      </c>
      <c r="E198" s="63"/>
      <c r="F198" s="64" t="s">
        <v>53</v>
      </c>
    </row>
    <row r="199">
      <c r="A199" s="60">
        <v>198.0</v>
      </c>
      <c r="B199" s="61" t="s">
        <v>1303</v>
      </c>
      <c r="C199" s="65"/>
      <c r="D199" s="60">
        <v>258.0</v>
      </c>
      <c r="E199" s="63"/>
      <c r="F199" s="64" t="s">
        <v>53</v>
      </c>
    </row>
    <row r="200">
      <c r="A200" s="60">
        <v>199.0</v>
      </c>
      <c r="B200" s="61" t="s">
        <v>1304</v>
      </c>
      <c r="C200" s="65"/>
      <c r="D200" s="60">
        <v>258.0</v>
      </c>
      <c r="E200" s="63"/>
      <c r="F200" s="64" t="s">
        <v>53</v>
      </c>
    </row>
    <row r="201">
      <c r="A201" s="60">
        <v>200.0</v>
      </c>
      <c r="B201" s="61" t="s">
        <v>1305</v>
      </c>
      <c r="C201" s="65"/>
      <c r="D201" s="60">
        <v>78.58</v>
      </c>
      <c r="E201" s="63"/>
      <c r="F201" s="64" t="s">
        <v>53</v>
      </c>
    </row>
    <row r="202">
      <c r="A202" s="60">
        <v>201.0</v>
      </c>
      <c r="B202" s="61" t="s">
        <v>1306</v>
      </c>
      <c r="C202" s="65"/>
      <c r="D202" s="60">
        <v>78.58</v>
      </c>
      <c r="E202" s="63"/>
      <c r="F202" s="64" t="s">
        <v>53</v>
      </c>
    </row>
    <row r="203">
      <c r="A203" s="60">
        <v>202.0</v>
      </c>
      <c r="B203" s="61" t="s">
        <v>1307</v>
      </c>
      <c r="C203" s="65"/>
      <c r="D203" s="60">
        <v>78.58</v>
      </c>
      <c r="E203" s="63"/>
      <c r="F203" s="64" t="s">
        <v>53</v>
      </c>
    </row>
    <row r="204">
      <c r="A204" s="60">
        <v>203.0</v>
      </c>
      <c r="B204" s="61" t="s">
        <v>1308</v>
      </c>
      <c r="C204" s="65"/>
      <c r="D204" s="60">
        <v>341.3</v>
      </c>
      <c r="E204" s="63"/>
      <c r="F204" s="64" t="s">
        <v>53</v>
      </c>
    </row>
    <row r="205">
      <c r="A205" s="60">
        <v>204.0</v>
      </c>
      <c r="B205" s="61" t="s">
        <v>1309</v>
      </c>
      <c r="C205" s="65"/>
      <c r="D205" s="60">
        <v>175.8</v>
      </c>
      <c r="E205" s="63"/>
      <c r="F205" s="64" t="s">
        <v>53</v>
      </c>
    </row>
    <row r="206">
      <c r="A206" s="60">
        <v>205.0</v>
      </c>
      <c r="B206" s="61" t="s">
        <v>1310</v>
      </c>
      <c r="C206" s="65"/>
      <c r="D206" s="60">
        <v>130.0</v>
      </c>
      <c r="E206" s="63"/>
      <c r="F206" s="64" t="s">
        <v>53</v>
      </c>
    </row>
    <row r="207">
      <c r="A207" s="60">
        <v>206.0</v>
      </c>
      <c r="B207" s="61" t="s">
        <v>1311</v>
      </c>
      <c r="C207" s="65"/>
      <c r="D207" s="60">
        <v>130.0</v>
      </c>
      <c r="E207" s="63"/>
      <c r="F207" s="64" t="s">
        <v>53</v>
      </c>
    </row>
    <row r="208">
      <c r="A208" s="60">
        <v>207.0</v>
      </c>
      <c r="B208" s="61" t="s">
        <v>1312</v>
      </c>
      <c r="C208" s="65"/>
      <c r="D208" s="60">
        <v>130.0</v>
      </c>
      <c r="E208" s="63"/>
      <c r="F208" s="64" t="s">
        <v>53</v>
      </c>
    </row>
    <row r="209">
      <c r="A209" s="60">
        <v>208.0</v>
      </c>
      <c r="B209" s="61" t="s">
        <v>1313</v>
      </c>
      <c r="C209" s="65"/>
      <c r="D209" s="60">
        <v>200.0</v>
      </c>
      <c r="E209" s="63"/>
      <c r="F209" s="64" t="s">
        <v>53</v>
      </c>
    </row>
    <row r="210">
      <c r="A210" s="60">
        <v>209.0</v>
      </c>
      <c r="B210" s="61" t="s">
        <v>1314</v>
      </c>
      <c r="C210" s="65"/>
      <c r="D210" s="60">
        <v>130.0</v>
      </c>
      <c r="E210" s="63"/>
      <c r="F210" s="64" t="s">
        <v>53</v>
      </c>
    </row>
    <row r="211">
      <c r="A211" s="60">
        <v>210.0</v>
      </c>
      <c r="B211" s="61" t="s">
        <v>1315</v>
      </c>
      <c r="C211" s="65"/>
      <c r="D211" s="60">
        <v>130.0</v>
      </c>
      <c r="E211" s="63"/>
      <c r="F211" s="64" t="s">
        <v>53</v>
      </c>
    </row>
    <row r="212">
      <c r="A212" s="60">
        <v>211.0</v>
      </c>
      <c r="B212" s="61" t="s">
        <v>1316</v>
      </c>
      <c r="C212" s="65"/>
      <c r="D212" s="60">
        <v>130.0</v>
      </c>
      <c r="E212" s="63"/>
      <c r="F212" s="64" t="s">
        <v>53</v>
      </c>
    </row>
    <row r="213">
      <c r="A213" s="60">
        <v>212.0</v>
      </c>
      <c r="B213" s="61" t="s">
        <v>1317</v>
      </c>
      <c r="C213" s="65"/>
      <c r="D213" s="60">
        <v>200.0</v>
      </c>
      <c r="E213" s="63"/>
      <c r="F213" s="64" t="s">
        <v>53</v>
      </c>
    </row>
    <row r="214">
      <c r="A214" s="60">
        <v>213.0</v>
      </c>
      <c r="B214" s="61" t="s">
        <v>1318</v>
      </c>
      <c r="C214" s="65"/>
      <c r="D214" s="60">
        <v>240.0</v>
      </c>
      <c r="E214" s="63"/>
      <c r="F214" s="64" t="s">
        <v>53</v>
      </c>
    </row>
    <row r="215">
      <c r="A215" s="60">
        <v>214.0</v>
      </c>
      <c r="B215" s="61" t="s">
        <v>1319</v>
      </c>
      <c r="C215" s="65"/>
      <c r="D215" s="60">
        <v>240.0</v>
      </c>
      <c r="E215" s="63"/>
      <c r="F215" s="64" t="s">
        <v>53</v>
      </c>
    </row>
    <row r="216">
      <c r="A216" s="60">
        <v>215.0</v>
      </c>
      <c r="B216" s="61" t="s">
        <v>1320</v>
      </c>
      <c r="C216" s="65"/>
      <c r="D216" s="60">
        <v>260.0</v>
      </c>
      <c r="E216" s="63"/>
      <c r="F216" s="64" t="s">
        <v>53</v>
      </c>
    </row>
    <row r="217">
      <c r="A217" s="60">
        <v>216.0</v>
      </c>
      <c r="B217" s="61" t="s">
        <v>1321</v>
      </c>
      <c r="C217" s="65"/>
      <c r="D217" s="60">
        <v>301.5</v>
      </c>
      <c r="E217" s="63"/>
      <c r="F217" s="64" t="s">
        <v>53</v>
      </c>
    </row>
    <row r="218">
      <c r="A218" s="60">
        <v>217.0</v>
      </c>
      <c r="B218" s="61" t="s">
        <v>1322</v>
      </c>
      <c r="C218" s="65"/>
      <c r="D218" s="60">
        <v>301.5</v>
      </c>
      <c r="E218" s="63"/>
      <c r="F218" s="64" t="s">
        <v>53</v>
      </c>
    </row>
    <row r="219">
      <c r="A219" s="60">
        <v>218.0</v>
      </c>
      <c r="B219" s="61" t="s">
        <v>1323</v>
      </c>
      <c r="C219" s="65"/>
      <c r="D219" s="60">
        <v>313.65</v>
      </c>
      <c r="E219" s="63"/>
      <c r="F219" s="64" t="s">
        <v>53</v>
      </c>
    </row>
    <row r="220">
      <c r="A220" s="60">
        <v>219.0</v>
      </c>
      <c r="B220" s="61" t="s">
        <v>1324</v>
      </c>
      <c r="C220" s="65"/>
      <c r="D220" s="60">
        <v>200.0</v>
      </c>
      <c r="E220" s="63"/>
      <c r="F220" s="71"/>
      <c r="G220" s="21" t="s">
        <v>1247</v>
      </c>
    </row>
    <row r="221">
      <c r="A221" s="60">
        <v>220.0</v>
      </c>
      <c r="B221" s="61" t="s">
        <v>1325</v>
      </c>
      <c r="C221" s="70"/>
      <c r="D221" s="60">
        <v>200.0</v>
      </c>
      <c r="E221" s="63"/>
      <c r="F221" s="72"/>
      <c r="G221" s="21" t="s">
        <v>1247</v>
      </c>
    </row>
    <row r="222">
      <c r="A222" s="63"/>
      <c r="B222" s="63"/>
      <c r="C222" s="74"/>
      <c r="D222" s="63"/>
      <c r="E222" s="63"/>
      <c r="F222" s="63"/>
    </row>
    <row r="223">
      <c r="A223" s="63"/>
      <c r="B223" s="63"/>
      <c r="C223" s="74"/>
      <c r="D223" s="75"/>
      <c r="E223" s="63"/>
      <c r="F223" s="63"/>
    </row>
    <row r="224">
      <c r="A224" s="76" t="s">
        <v>1326</v>
      </c>
      <c r="B224" s="77"/>
      <c r="C224" s="78"/>
      <c r="D224" s="79">
        <f>SUM(D2:D221)</f>
        <v>22676.172</v>
      </c>
      <c r="E224" s="77"/>
      <c r="F224" s="78"/>
    </row>
    <row r="225">
      <c r="A225" s="15"/>
      <c r="B225" s="15"/>
      <c r="C225" s="80"/>
      <c r="D225" s="15"/>
      <c r="E225" s="15"/>
      <c r="F225" s="15"/>
    </row>
    <row r="226">
      <c r="A226" s="15"/>
      <c r="B226" s="81" t="s">
        <v>1327</v>
      </c>
      <c r="D226" s="15"/>
      <c r="E226" s="15"/>
      <c r="F226" s="15"/>
    </row>
    <row r="227">
      <c r="C227" s="82"/>
    </row>
    <row r="228">
      <c r="C228" s="82"/>
    </row>
    <row r="229">
      <c r="C229" s="82"/>
    </row>
    <row r="230">
      <c r="C230" s="82"/>
    </row>
    <row r="231">
      <c r="C231" s="82"/>
    </row>
    <row r="232">
      <c r="C232" s="82"/>
    </row>
    <row r="233">
      <c r="C233" s="82"/>
    </row>
    <row r="234">
      <c r="C234" s="82"/>
    </row>
    <row r="235">
      <c r="C235" s="82"/>
    </row>
    <row r="236">
      <c r="C236" s="82"/>
    </row>
    <row r="237">
      <c r="C237" s="82"/>
    </row>
    <row r="238">
      <c r="C238" s="82"/>
    </row>
    <row r="239">
      <c r="C239" s="82"/>
    </row>
    <row r="240">
      <c r="C240" s="82"/>
    </row>
    <row r="241">
      <c r="C241" s="82"/>
    </row>
    <row r="242">
      <c r="C242" s="82"/>
    </row>
    <row r="243">
      <c r="C243" s="82"/>
    </row>
    <row r="244">
      <c r="C244" s="82"/>
    </row>
    <row r="245">
      <c r="C245" s="82"/>
    </row>
    <row r="246">
      <c r="C246" s="82"/>
    </row>
    <row r="247">
      <c r="C247" s="82"/>
    </row>
    <row r="248">
      <c r="C248" s="82"/>
    </row>
    <row r="249">
      <c r="C249" s="82"/>
    </row>
    <row r="250">
      <c r="C250" s="82"/>
    </row>
    <row r="251">
      <c r="C251" s="82"/>
    </row>
    <row r="252">
      <c r="C252" s="82"/>
    </row>
    <row r="253">
      <c r="C253" s="82"/>
    </row>
    <row r="254">
      <c r="C254" s="82"/>
    </row>
    <row r="255">
      <c r="C255" s="82"/>
    </row>
    <row r="256">
      <c r="C256" s="82"/>
    </row>
    <row r="257">
      <c r="C257" s="82"/>
    </row>
    <row r="258">
      <c r="C258" s="82"/>
    </row>
    <row r="259">
      <c r="C259" s="82"/>
    </row>
    <row r="260">
      <c r="C260" s="82"/>
    </row>
    <row r="261">
      <c r="C261" s="82"/>
    </row>
    <row r="262">
      <c r="C262" s="82"/>
    </row>
    <row r="263">
      <c r="C263" s="82"/>
    </row>
    <row r="264">
      <c r="C264" s="82"/>
    </row>
    <row r="265">
      <c r="C265" s="82"/>
    </row>
    <row r="266">
      <c r="C266" s="82"/>
    </row>
    <row r="267">
      <c r="C267" s="82"/>
    </row>
    <row r="268">
      <c r="C268" s="82"/>
    </row>
    <row r="269">
      <c r="C269" s="82"/>
    </row>
    <row r="270">
      <c r="C270" s="82"/>
    </row>
    <row r="271">
      <c r="C271" s="82"/>
    </row>
    <row r="272">
      <c r="C272" s="82"/>
    </row>
    <row r="273">
      <c r="C273" s="82"/>
    </row>
    <row r="274">
      <c r="C274" s="82"/>
    </row>
    <row r="275">
      <c r="C275" s="82"/>
    </row>
    <row r="276">
      <c r="C276" s="82"/>
    </row>
    <row r="277">
      <c r="C277" s="82"/>
    </row>
    <row r="278">
      <c r="C278" s="82"/>
    </row>
    <row r="279">
      <c r="C279" s="82"/>
    </row>
    <row r="280">
      <c r="C280" s="82"/>
    </row>
    <row r="281">
      <c r="C281" s="82"/>
    </row>
    <row r="282">
      <c r="C282" s="82"/>
    </row>
    <row r="283">
      <c r="C283" s="82"/>
    </row>
    <row r="284">
      <c r="C284" s="82"/>
    </row>
    <row r="285">
      <c r="C285" s="82"/>
    </row>
    <row r="286">
      <c r="C286" s="82"/>
    </row>
    <row r="287">
      <c r="C287" s="82"/>
    </row>
    <row r="288">
      <c r="C288" s="82"/>
    </row>
    <row r="289">
      <c r="C289" s="82"/>
    </row>
    <row r="290">
      <c r="C290" s="82"/>
    </row>
    <row r="291">
      <c r="C291" s="82"/>
    </row>
    <row r="292">
      <c r="C292" s="82"/>
    </row>
    <row r="293">
      <c r="C293" s="82"/>
    </row>
    <row r="294">
      <c r="C294" s="82"/>
    </row>
    <row r="295">
      <c r="C295" s="82"/>
    </row>
    <row r="296">
      <c r="C296" s="82"/>
    </row>
    <row r="297">
      <c r="C297" s="82"/>
    </row>
    <row r="298">
      <c r="C298" s="82"/>
    </row>
    <row r="299">
      <c r="C299" s="82"/>
    </row>
    <row r="300">
      <c r="C300" s="82"/>
    </row>
    <row r="301">
      <c r="C301" s="82"/>
    </row>
    <row r="302">
      <c r="C302" s="82"/>
    </row>
    <row r="303">
      <c r="C303" s="82"/>
    </row>
    <row r="304">
      <c r="C304" s="82"/>
    </row>
    <row r="305">
      <c r="C305" s="82"/>
    </row>
    <row r="306">
      <c r="C306" s="82"/>
    </row>
    <row r="307">
      <c r="C307" s="82"/>
    </row>
    <row r="308">
      <c r="C308" s="82"/>
    </row>
    <row r="309">
      <c r="C309" s="82"/>
    </row>
    <row r="310">
      <c r="C310" s="82"/>
    </row>
    <row r="311">
      <c r="C311" s="82"/>
    </row>
    <row r="312">
      <c r="C312" s="82"/>
    </row>
    <row r="313">
      <c r="C313" s="82"/>
    </row>
    <row r="314">
      <c r="C314" s="82"/>
    </row>
    <row r="315">
      <c r="C315" s="82"/>
    </row>
    <row r="316">
      <c r="C316" s="82"/>
    </row>
    <row r="317">
      <c r="C317" s="82"/>
    </row>
    <row r="318">
      <c r="C318" s="82"/>
    </row>
    <row r="319">
      <c r="C319" s="82"/>
    </row>
    <row r="320">
      <c r="C320" s="82"/>
    </row>
    <row r="321">
      <c r="C321" s="82"/>
    </row>
    <row r="322">
      <c r="C322" s="82"/>
    </row>
    <row r="323">
      <c r="C323" s="82"/>
    </row>
    <row r="324">
      <c r="C324" s="82"/>
    </row>
    <row r="325">
      <c r="C325" s="82"/>
    </row>
    <row r="326">
      <c r="C326" s="82"/>
    </row>
    <row r="327">
      <c r="C327" s="82"/>
    </row>
    <row r="328">
      <c r="C328" s="82"/>
    </row>
    <row r="329">
      <c r="C329" s="82"/>
    </row>
    <row r="330">
      <c r="C330" s="82"/>
    </row>
    <row r="331">
      <c r="C331" s="82"/>
    </row>
    <row r="332">
      <c r="C332" s="82"/>
    </row>
    <row r="333">
      <c r="C333" s="82"/>
    </row>
    <row r="334">
      <c r="C334" s="82"/>
    </row>
    <row r="335">
      <c r="C335" s="82"/>
    </row>
    <row r="336">
      <c r="C336" s="82"/>
    </row>
    <row r="337">
      <c r="C337" s="82"/>
    </row>
    <row r="338">
      <c r="C338" s="82"/>
    </row>
    <row r="339">
      <c r="C339" s="82"/>
    </row>
    <row r="340">
      <c r="C340" s="82"/>
    </row>
    <row r="341">
      <c r="C341" s="82"/>
    </row>
    <row r="342">
      <c r="C342" s="82"/>
    </row>
    <row r="343">
      <c r="C343" s="82"/>
    </row>
    <row r="344">
      <c r="C344" s="82"/>
    </row>
    <row r="345">
      <c r="C345" s="82"/>
    </row>
    <row r="346">
      <c r="C346" s="82"/>
    </row>
    <row r="347">
      <c r="C347" s="82"/>
    </row>
    <row r="348">
      <c r="C348" s="82"/>
    </row>
    <row r="349">
      <c r="C349" s="82"/>
    </row>
    <row r="350">
      <c r="C350" s="82"/>
    </row>
    <row r="351">
      <c r="C351" s="82"/>
    </row>
    <row r="352">
      <c r="C352" s="82"/>
    </row>
    <row r="353">
      <c r="C353" s="82"/>
    </row>
    <row r="354">
      <c r="C354" s="82"/>
    </row>
    <row r="355">
      <c r="C355" s="82"/>
    </row>
    <row r="356">
      <c r="C356" s="82"/>
    </row>
    <row r="357">
      <c r="C357" s="82"/>
    </row>
    <row r="358">
      <c r="C358" s="82"/>
    </row>
    <row r="359">
      <c r="C359" s="82"/>
    </row>
    <row r="360">
      <c r="C360" s="82"/>
    </row>
    <row r="361">
      <c r="C361" s="82"/>
    </row>
    <row r="362">
      <c r="C362" s="82"/>
    </row>
    <row r="363">
      <c r="C363" s="82"/>
    </row>
    <row r="364">
      <c r="C364" s="82"/>
    </row>
    <row r="365">
      <c r="C365" s="82"/>
    </row>
    <row r="366">
      <c r="C366" s="82"/>
    </row>
    <row r="367">
      <c r="C367" s="82"/>
    </row>
    <row r="368">
      <c r="C368" s="82"/>
    </row>
    <row r="369">
      <c r="C369" s="82"/>
    </row>
    <row r="370">
      <c r="C370" s="82"/>
    </row>
    <row r="371">
      <c r="C371" s="82"/>
    </row>
    <row r="372">
      <c r="C372" s="82"/>
    </row>
    <row r="373">
      <c r="C373" s="82"/>
    </row>
    <row r="374">
      <c r="C374" s="82"/>
    </row>
    <row r="375">
      <c r="C375" s="82"/>
    </row>
    <row r="376">
      <c r="C376" s="82"/>
    </row>
    <row r="377">
      <c r="C377" s="82"/>
    </row>
    <row r="378">
      <c r="C378" s="82"/>
    </row>
    <row r="379">
      <c r="C379" s="82"/>
    </row>
    <row r="380">
      <c r="C380" s="82"/>
    </row>
    <row r="381">
      <c r="C381" s="82"/>
    </row>
    <row r="382">
      <c r="C382" s="82"/>
    </row>
    <row r="383">
      <c r="C383" s="82"/>
    </row>
    <row r="384">
      <c r="C384" s="82"/>
    </row>
    <row r="385">
      <c r="C385" s="82"/>
    </row>
    <row r="386">
      <c r="C386" s="82"/>
    </row>
    <row r="387">
      <c r="C387" s="82"/>
    </row>
    <row r="388">
      <c r="C388" s="82"/>
    </row>
    <row r="389">
      <c r="C389" s="82"/>
    </row>
    <row r="390">
      <c r="C390" s="82"/>
    </row>
    <row r="391">
      <c r="C391" s="82"/>
    </row>
    <row r="392">
      <c r="C392" s="82"/>
    </row>
    <row r="393">
      <c r="C393" s="82"/>
    </row>
    <row r="394">
      <c r="C394" s="82"/>
    </row>
    <row r="395">
      <c r="C395" s="82"/>
    </row>
    <row r="396">
      <c r="C396" s="82"/>
    </row>
    <row r="397">
      <c r="C397" s="82"/>
    </row>
    <row r="398">
      <c r="C398" s="82"/>
    </row>
    <row r="399">
      <c r="C399" s="82"/>
    </row>
    <row r="400">
      <c r="C400" s="82"/>
    </row>
    <row r="401">
      <c r="C401" s="82"/>
    </row>
    <row r="402">
      <c r="C402" s="82"/>
    </row>
    <row r="403">
      <c r="C403" s="82"/>
    </row>
    <row r="404">
      <c r="C404" s="82"/>
    </row>
    <row r="405">
      <c r="C405" s="82"/>
    </row>
    <row r="406">
      <c r="C406" s="82"/>
    </row>
    <row r="407">
      <c r="C407" s="82"/>
    </row>
    <row r="408">
      <c r="C408" s="82"/>
    </row>
    <row r="409">
      <c r="C409" s="82"/>
    </row>
    <row r="410">
      <c r="C410" s="82"/>
    </row>
    <row r="411">
      <c r="C411" s="82"/>
    </row>
    <row r="412">
      <c r="C412" s="82"/>
    </row>
    <row r="413">
      <c r="C413" s="82"/>
    </row>
    <row r="414">
      <c r="C414" s="82"/>
    </row>
    <row r="415">
      <c r="C415" s="82"/>
    </row>
    <row r="416">
      <c r="C416" s="82"/>
    </row>
    <row r="417">
      <c r="C417" s="82"/>
    </row>
    <row r="418">
      <c r="C418" s="82"/>
    </row>
    <row r="419">
      <c r="C419" s="82"/>
    </row>
    <row r="420">
      <c r="C420" s="82"/>
    </row>
    <row r="421">
      <c r="C421" s="82"/>
    </row>
    <row r="422">
      <c r="C422" s="82"/>
    </row>
    <row r="423">
      <c r="C423" s="82"/>
    </row>
    <row r="424">
      <c r="C424" s="82"/>
    </row>
    <row r="425">
      <c r="C425" s="82"/>
    </row>
    <row r="426">
      <c r="C426" s="82"/>
    </row>
    <row r="427">
      <c r="C427" s="82"/>
    </row>
    <row r="428">
      <c r="C428" s="82"/>
    </row>
    <row r="429">
      <c r="C429" s="82"/>
    </row>
    <row r="430">
      <c r="C430" s="82"/>
    </row>
    <row r="431">
      <c r="C431" s="82"/>
    </row>
    <row r="432">
      <c r="C432" s="82"/>
    </row>
    <row r="433">
      <c r="C433" s="82"/>
    </row>
    <row r="434">
      <c r="C434" s="82"/>
    </row>
    <row r="435">
      <c r="C435" s="82"/>
    </row>
    <row r="436">
      <c r="C436" s="82"/>
    </row>
    <row r="437">
      <c r="C437" s="82"/>
    </row>
    <row r="438">
      <c r="C438" s="82"/>
    </row>
    <row r="439">
      <c r="C439" s="82"/>
    </row>
    <row r="440">
      <c r="C440" s="82"/>
    </row>
    <row r="441">
      <c r="C441" s="82"/>
    </row>
    <row r="442">
      <c r="C442" s="82"/>
    </row>
    <row r="443">
      <c r="C443" s="82"/>
    </row>
    <row r="444">
      <c r="C444" s="82"/>
    </row>
    <row r="445">
      <c r="C445" s="82"/>
    </row>
    <row r="446">
      <c r="C446" s="82"/>
    </row>
    <row r="447">
      <c r="C447" s="82"/>
    </row>
    <row r="448">
      <c r="C448" s="82"/>
    </row>
    <row r="449">
      <c r="C449" s="82"/>
    </row>
    <row r="450">
      <c r="C450" s="82"/>
    </row>
    <row r="451">
      <c r="C451" s="82"/>
    </row>
    <row r="452">
      <c r="C452" s="82"/>
    </row>
    <row r="453">
      <c r="C453" s="82"/>
    </row>
    <row r="454">
      <c r="C454" s="82"/>
    </row>
    <row r="455">
      <c r="C455" s="82"/>
    </row>
    <row r="456">
      <c r="C456" s="82"/>
    </row>
    <row r="457">
      <c r="C457" s="82"/>
    </row>
    <row r="458">
      <c r="C458" s="82"/>
    </row>
    <row r="459">
      <c r="C459" s="82"/>
    </row>
    <row r="460">
      <c r="C460" s="82"/>
    </row>
    <row r="461">
      <c r="C461" s="82"/>
    </row>
    <row r="462">
      <c r="C462" s="82"/>
    </row>
    <row r="463">
      <c r="C463" s="82"/>
    </row>
    <row r="464">
      <c r="C464" s="82"/>
    </row>
    <row r="465">
      <c r="C465" s="82"/>
    </row>
    <row r="466">
      <c r="C466" s="82"/>
    </row>
    <row r="467">
      <c r="C467" s="82"/>
    </row>
    <row r="468">
      <c r="C468" s="82"/>
    </row>
    <row r="469">
      <c r="C469" s="82"/>
    </row>
    <row r="470">
      <c r="C470" s="82"/>
    </row>
    <row r="471">
      <c r="C471" s="82"/>
    </row>
    <row r="472">
      <c r="C472" s="82"/>
    </row>
    <row r="473">
      <c r="C473" s="82"/>
    </row>
    <row r="474">
      <c r="C474" s="82"/>
    </row>
    <row r="475">
      <c r="C475" s="82"/>
    </row>
    <row r="476">
      <c r="C476" s="82"/>
    </row>
    <row r="477">
      <c r="C477" s="82"/>
    </row>
    <row r="478">
      <c r="C478" s="82"/>
    </row>
    <row r="479">
      <c r="C479" s="82"/>
    </row>
    <row r="480">
      <c r="C480" s="82"/>
    </row>
    <row r="481">
      <c r="C481" s="82"/>
    </row>
    <row r="482">
      <c r="C482" s="82"/>
    </row>
    <row r="483">
      <c r="C483" s="82"/>
    </row>
    <row r="484">
      <c r="C484" s="82"/>
    </row>
    <row r="485">
      <c r="C485" s="82"/>
    </row>
    <row r="486">
      <c r="C486" s="82"/>
    </row>
    <row r="487">
      <c r="C487" s="82"/>
    </row>
    <row r="488">
      <c r="C488" s="82"/>
    </row>
    <row r="489">
      <c r="C489" s="82"/>
    </row>
    <row r="490">
      <c r="C490" s="82"/>
    </row>
    <row r="491">
      <c r="C491" s="82"/>
    </row>
    <row r="492">
      <c r="C492" s="82"/>
    </row>
    <row r="493">
      <c r="C493" s="82"/>
    </row>
    <row r="494">
      <c r="C494" s="82"/>
    </row>
    <row r="495">
      <c r="C495" s="82"/>
    </row>
    <row r="496">
      <c r="C496" s="82"/>
    </row>
    <row r="497">
      <c r="C497" s="82"/>
    </row>
    <row r="498">
      <c r="C498" s="82"/>
    </row>
    <row r="499">
      <c r="C499" s="82"/>
    </row>
    <row r="500">
      <c r="C500" s="82"/>
    </row>
    <row r="501">
      <c r="C501" s="82"/>
    </row>
    <row r="502">
      <c r="C502" s="82"/>
    </row>
    <row r="503">
      <c r="C503" s="82"/>
    </row>
    <row r="504">
      <c r="C504" s="82"/>
    </row>
    <row r="505">
      <c r="C505" s="82"/>
    </row>
    <row r="506">
      <c r="C506" s="82"/>
    </row>
    <row r="507">
      <c r="C507" s="82"/>
    </row>
    <row r="508">
      <c r="C508" s="82"/>
    </row>
    <row r="509">
      <c r="C509" s="82"/>
    </row>
    <row r="510">
      <c r="C510" s="82"/>
    </row>
    <row r="511">
      <c r="C511" s="82"/>
    </row>
    <row r="512">
      <c r="C512" s="82"/>
    </row>
    <row r="513">
      <c r="C513" s="82"/>
    </row>
    <row r="514">
      <c r="C514" s="82"/>
    </row>
    <row r="515">
      <c r="C515" s="82"/>
    </row>
    <row r="516">
      <c r="C516" s="82"/>
    </row>
    <row r="517">
      <c r="C517" s="82"/>
    </row>
    <row r="518">
      <c r="C518" s="82"/>
    </row>
    <row r="519">
      <c r="C519" s="82"/>
    </row>
    <row r="520">
      <c r="C520" s="82"/>
    </row>
    <row r="521">
      <c r="C521" s="82"/>
    </row>
    <row r="522">
      <c r="C522" s="82"/>
    </row>
    <row r="523">
      <c r="C523" s="82"/>
    </row>
    <row r="524">
      <c r="C524" s="82"/>
    </row>
    <row r="525">
      <c r="C525" s="82"/>
    </row>
    <row r="526">
      <c r="C526" s="82"/>
    </row>
    <row r="527">
      <c r="C527" s="82"/>
    </row>
    <row r="528">
      <c r="C528" s="82"/>
    </row>
    <row r="529">
      <c r="C529" s="82"/>
    </row>
    <row r="530">
      <c r="C530" s="82"/>
    </row>
    <row r="531">
      <c r="C531" s="82"/>
    </row>
    <row r="532">
      <c r="C532" s="82"/>
    </row>
    <row r="533">
      <c r="C533" s="82"/>
    </row>
    <row r="534">
      <c r="C534" s="82"/>
    </row>
    <row r="535">
      <c r="C535" s="82"/>
    </row>
    <row r="536">
      <c r="C536" s="82"/>
    </row>
    <row r="537">
      <c r="C537" s="82"/>
    </row>
    <row r="538">
      <c r="C538" s="82"/>
    </row>
    <row r="539">
      <c r="C539" s="82"/>
    </row>
    <row r="540">
      <c r="C540" s="82"/>
    </row>
    <row r="541">
      <c r="C541" s="82"/>
    </row>
    <row r="542">
      <c r="C542" s="82"/>
    </row>
    <row r="543">
      <c r="C543" s="82"/>
    </row>
    <row r="544">
      <c r="C544" s="82"/>
    </row>
    <row r="545">
      <c r="C545" s="82"/>
    </row>
    <row r="546">
      <c r="C546" s="82"/>
    </row>
    <row r="547">
      <c r="C547" s="82"/>
    </row>
    <row r="548">
      <c r="C548" s="82"/>
    </row>
    <row r="549">
      <c r="C549" s="82"/>
    </row>
    <row r="550">
      <c r="C550" s="82"/>
    </row>
    <row r="551">
      <c r="C551" s="82"/>
    </row>
    <row r="552">
      <c r="C552" s="82"/>
    </row>
    <row r="553">
      <c r="C553" s="82"/>
    </row>
    <row r="554">
      <c r="C554" s="82"/>
    </row>
    <row r="555">
      <c r="C555" s="82"/>
    </row>
    <row r="556">
      <c r="C556" s="82"/>
    </row>
    <row r="557">
      <c r="C557" s="82"/>
    </row>
    <row r="558">
      <c r="C558" s="82"/>
    </row>
    <row r="559">
      <c r="C559" s="82"/>
    </row>
    <row r="560">
      <c r="C560" s="82"/>
    </row>
    <row r="561">
      <c r="C561" s="82"/>
    </row>
    <row r="562">
      <c r="C562" s="82"/>
    </row>
    <row r="563">
      <c r="C563" s="82"/>
    </row>
    <row r="564">
      <c r="C564" s="82"/>
    </row>
    <row r="565">
      <c r="C565" s="82"/>
    </row>
    <row r="566">
      <c r="C566" s="82"/>
    </row>
    <row r="567">
      <c r="C567" s="82"/>
    </row>
    <row r="568">
      <c r="C568" s="82"/>
    </row>
    <row r="569">
      <c r="C569" s="82"/>
    </row>
    <row r="570">
      <c r="C570" s="82"/>
    </row>
    <row r="571">
      <c r="C571" s="82"/>
    </row>
    <row r="572">
      <c r="C572" s="82"/>
    </row>
    <row r="573">
      <c r="C573" s="82"/>
    </row>
    <row r="574">
      <c r="C574" s="82"/>
    </row>
    <row r="575">
      <c r="C575" s="82"/>
    </row>
    <row r="576">
      <c r="C576" s="82"/>
    </row>
    <row r="577">
      <c r="C577" s="82"/>
    </row>
    <row r="578">
      <c r="C578" s="82"/>
    </row>
    <row r="579">
      <c r="C579" s="82"/>
    </row>
    <row r="580">
      <c r="C580" s="82"/>
    </row>
    <row r="581">
      <c r="C581" s="82"/>
    </row>
    <row r="582">
      <c r="C582" s="82"/>
    </row>
    <row r="583">
      <c r="C583" s="82"/>
    </row>
    <row r="584">
      <c r="C584" s="82"/>
    </row>
    <row r="585">
      <c r="C585" s="82"/>
    </row>
    <row r="586">
      <c r="C586" s="82"/>
    </row>
    <row r="587">
      <c r="C587" s="82"/>
    </row>
    <row r="588">
      <c r="C588" s="82"/>
    </row>
    <row r="589">
      <c r="C589" s="82"/>
    </row>
    <row r="590">
      <c r="C590" s="82"/>
    </row>
    <row r="591">
      <c r="C591" s="82"/>
    </row>
    <row r="592">
      <c r="C592" s="82"/>
    </row>
    <row r="593">
      <c r="C593" s="82"/>
    </row>
    <row r="594">
      <c r="C594" s="82"/>
    </row>
    <row r="595">
      <c r="C595" s="82"/>
    </row>
    <row r="596">
      <c r="C596" s="82"/>
    </row>
    <row r="597">
      <c r="C597" s="82"/>
    </row>
    <row r="598">
      <c r="C598" s="82"/>
    </row>
    <row r="599">
      <c r="C599" s="82"/>
    </row>
    <row r="600">
      <c r="C600" s="82"/>
    </row>
    <row r="601">
      <c r="C601" s="82"/>
    </row>
    <row r="602">
      <c r="C602" s="82"/>
    </row>
    <row r="603">
      <c r="C603" s="82"/>
    </row>
    <row r="604">
      <c r="C604" s="82"/>
    </row>
    <row r="605">
      <c r="C605" s="82"/>
    </row>
    <row r="606">
      <c r="C606" s="82"/>
    </row>
    <row r="607">
      <c r="C607" s="82"/>
    </row>
    <row r="608">
      <c r="C608" s="82"/>
    </row>
    <row r="609">
      <c r="C609" s="82"/>
    </row>
    <row r="610">
      <c r="C610" s="82"/>
    </row>
    <row r="611">
      <c r="C611" s="82"/>
    </row>
    <row r="612">
      <c r="C612" s="82"/>
    </row>
    <row r="613">
      <c r="C613" s="82"/>
    </row>
    <row r="614">
      <c r="C614" s="82"/>
    </row>
    <row r="615">
      <c r="C615" s="82"/>
    </row>
    <row r="616">
      <c r="C616" s="82"/>
    </row>
    <row r="617">
      <c r="C617" s="82"/>
    </row>
    <row r="618">
      <c r="C618" s="82"/>
    </row>
    <row r="619">
      <c r="C619" s="82"/>
    </row>
    <row r="620">
      <c r="C620" s="82"/>
    </row>
    <row r="621">
      <c r="C621" s="82"/>
    </row>
    <row r="622">
      <c r="C622" s="82"/>
    </row>
    <row r="623">
      <c r="C623" s="82"/>
    </row>
    <row r="624">
      <c r="C624" s="82"/>
    </row>
    <row r="625">
      <c r="C625" s="82"/>
    </row>
    <row r="626">
      <c r="C626" s="82"/>
    </row>
    <row r="627">
      <c r="C627" s="82"/>
    </row>
    <row r="628">
      <c r="C628" s="82"/>
    </row>
    <row r="629">
      <c r="C629" s="82"/>
    </row>
    <row r="630">
      <c r="C630" s="82"/>
    </row>
    <row r="631">
      <c r="C631" s="82"/>
    </row>
    <row r="632">
      <c r="C632" s="82"/>
    </row>
    <row r="633">
      <c r="C633" s="82"/>
    </row>
    <row r="634">
      <c r="C634" s="82"/>
    </row>
    <row r="635">
      <c r="C635" s="82"/>
    </row>
    <row r="636">
      <c r="C636" s="82"/>
    </row>
    <row r="637">
      <c r="C637" s="82"/>
    </row>
    <row r="638">
      <c r="C638" s="82"/>
    </row>
    <row r="639">
      <c r="C639" s="82"/>
    </row>
    <row r="640">
      <c r="C640" s="82"/>
    </row>
    <row r="641">
      <c r="C641" s="82"/>
    </row>
    <row r="642">
      <c r="C642" s="82"/>
    </row>
    <row r="643">
      <c r="C643" s="82"/>
    </row>
    <row r="644">
      <c r="C644" s="82"/>
    </row>
    <row r="645">
      <c r="C645" s="82"/>
    </row>
    <row r="646">
      <c r="C646" s="82"/>
    </row>
    <row r="647">
      <c r="C647" s="82"/>
    </row>
    <row r="648">
      <c r="C648" s="82"/>
    </row>
    <row r="649">
      <c r="C649" s="82"/>
    </row>
    <row r="650">
      <c r="C650" s="82"/>
    </row>
    <row r="651">
      <c r="C651" s="82"/>
    </row>
    <row r="652">
      <c r="C652" s="82"/>
    </row>
    <row r="653">
      <c r="C653" s="82"/>
    </row>
    <row r="654">
      <c r="C654" s="82"/>
    </row>
    <row r="655">
      <c r="C655" s="82"/>
    </row>
    <row r="656">
      <c r="C656" s="82"/>
    </row>
    <row r="657">
      <c r="C657" s="82"/>
    </row>
    <row r="658">
      <c r="C658" s="82"/>
    </row>
    <row r="659">
      <c r="C659" s="82"/>
    </row>
    <row r="660">
      <c r="C660" s="82"/>
    </row>
    <row r="661">
      <c r="C661" s="82"/>
    </row>
    <row r="662">
      <c r="C662" s="82"/>
    </row>
    <row r="663">
      <c r="C663" s="82"/>
    </row>
    <row r="664">
      <c r="C664" s="82"/>
    </row>
    <row r="665">
      <c r="C665" s="82"/>
    </row>
    <row r="666">
      <c r="C666" s="82"/>
    </row>
    <row r="667">
      <c r="C667" s="82"/>
    </row>
    <row r="668">
      <c r="C668" s="82"/>
    </row>
    <row r="669">
      <c r="C669" s="82"/>
    </row>
    <row r="670">
      <c r="C670" s="82"/>
    </row>
    <row r="671">
      <c r="C671" s="82"/>
    </row>
    <row r="672">
      <c r="C672" s="82"/>
    </row>
    <row r="673">
      <c r="C673" s="82"/>
    </row>
    <row r="674">
      <c r="C674" s="82"/>
    </row>
    <row r="675">
      <c r="C675" s="82"/>
    </row>
    <row r="676">
      <c r="C676" s="82"/>
    </row>
    <row r="677">
      <c r="C677" s="82"/>
    </row>
    <row r="678">
      <c r="C678" s="82"/>
    </row>
    <row r="679">
      <c r="C679" s="82"/>
    </row>
    <row r="680">
      <c r="C680" s="82"/>
    </row>
    <row r="681">
      <c r="C681" s="82"/>
    </row>
    <row r="682">
      <c r="C682" s="82"/>
    </row>
    <row r="683">
      <c r="C683" s="82"/>
    </row>
    <row r="684">
      <c r="C684" s="82"/>
    </row>
    <row r="685">
      <c r="C685" s="82"/>
    </row>
    <row r="686">
      <c r="C686" s="82"/>
    </row>
    <row r="687">
      <c r="C687" s="82"/>
    </row>
    <row r="688">
      <c r="C688" s="82"/>
    </row>
    <row r="689">
      <c r="C689" s="82"/>
    </row>
    <row r="690">
      <c r="C690" s="82"/>
    </row>
    <row r="691">
      <c r="C691" s="82"/>
    </row>
    <row r="692">
      <c r="C692" s="82"/>
    </row>
    <row r="693">
      <c r="C693" s="82"/>
    </row>
    <row r="694">
      <c r="C694" s="82"/>
    </row>
    <row r="695">
      <c r="C695" s="82"/>
    </row>
    <row r="696">
      <c r="C696" s="82"/>
    </row>
    <row r="697">
      <c r="C697" s="82"/>
    </row>
    <row r="698">
      <c r="C698" s="82"/>
    </row>
    <row r="699">
      <c r="C699" s="82"/>
    </row>
    <row r="700">
      <c r="C700" s="82"/>
    </row>
    <row r="701">
      <c r="C701" s="82"/>
    </row>
    <row r="702">
      <c r="C702" s="82"/>
    </row>
    <row r="703">
      <c r="C703" s="82"/>
    </row>
    <row r="704">
      <c r="C704" s="82"/>
    </row>
    <row r="705">
      <c r="C705" s="82"/>
    </row>
    <row r="706">
      <c r="C706" s="82"/>
    </row>
    <row r="707">
      <c r="C707" s="82"/>
    </row>
    <row r="708">
      <c r="C708" s="82"/>
    </row>
    <row r="709">
      <c r="C709" s="82"/>
    </row>
    <row r="710">
      <c r="C710" s="82"/>
    </row>
    <row r="711">
      <c r="C711" s="82"/>
    </row>
    <row r="712">
      <c r="C712" s="82"/>
    </row>
    <row r="713">
      <c r="C713" s="82"/>
    </row>
    <row r="714">
      <c r="C714" s="82"/>
    </row>
    <row r="715">
      <c r="C715" s="82"/>
    </row>
    <row r="716">
      <c r="C716" s="82"/>
    </row>
    <row r="717">
      <c r="C717" s="82"/>
    </row>
    <row r="718">
      <c r="C718" s="82"/>
    </row>
    <row r="719">
      <c r="C719" s="82"/>
    </row>
    <row r="720">
      <c r="C720" s="82"/>
    </row>
    <row r="721">
      <c r="C721" s="82"/>
    </row>
    <row r="722">
      <c r="C722" s="82"/>
    </row>
    <row r="723">
      <c r="C723" s="82"/>
    </row>
    <row r="724">
      <c r="C724" s="82"/>
    </row>
    <row r="725">
      <c r="C725" s="82"/>
    </row>
    <row r="726">
      <c r="C726" s="82"/>
    </row>
    <row r="727">
      <c r="C727" s="82"/>
    </row>
    <row r="728">
      <c r="C728" s="82"/>
    </row>
    <row r="729">
      <c r="C729" s="82"/>
    </row>
    <row r="730">
      <c r="C730" s="82"/>
    </row>
    <row r="731">
      <c r="C731" s="82"/>
    </row>
    <row r="732">
      <c r="C732" s="82"/>
    </row>
    <row r="733">
      <c r="C733" s="82"/>
    </row>
    <row r="734">
      <c r="C734" s="82"/>
    </row>
    <row r="735">
      <c r="C735" s="82"/>
    </row>
    <row r="736">
      <c r="C736" s="82"/>
    </row>
    <row r="737">
      <c r="C737" s="82"/>
    </row>
    <row r="738">
      <c r="C738" s="82"/>
    </row>
    <row r="739">
      <c r="C739" s="82"/>
    </row>
    <row r="740">
      <c r="C740" s="82"/>
    </row>
    <row r="741">
      <c r="C741" s="82"/>
    </row>
    <row r="742">
      <c r="C742" s="82"/>
    </row>
    <row r="743">
      <c r="C743" s="82"/>
    </row>
    <row r="744">
      <c r="C744" s="82"/>
    </row>
    <row r="745">
      <c r="C745" s="82"/>
    </row>
    <row r="746">
      <c r="C746" s="82"/>
    </row>
    <row r="747">
      <c r="C747" s="82"/>
    </row>
    <row r="748">
      <c r="C748" s="82"/>
    </row>
    <row r="749">
      <c r="C749" s="82"/>
    </row>
    <row r="750">
      <c r="C750" s="82"/>
    </row>
    <row r="751">
      <c r="C751" s="82"/>
    </row>
    <row r="752">
      <c r="C752" s="82"/>
    </row>
    <row r="753">
      <c r="C753" s="82"/>
    </row>
    <row r="754">
      <c r="C754" s="82"/>
    </row>
    <row r="755">
      <c r="C755" s="82"/>
    </row>
    <row r="756">
      <c r="C756" s="82"/>
    </row>
    <row r="757">
      <c r="C757" s="82"/>
    </row>
    <row r="758">
      <c r="C758" s="82"/>
    </row>
    <row r="759">
      <c r="C759" s="82"/>
    </row>
    <row r="760">
      <c r="C760" s="82"/>
    </row>
    <row r="761">
      <c r="C761" s="82"/>
    </row>
    <row r="762">
      <c r="C762" s="82"/>
    </row>
    <row r="763">
      <c r="C763" s="82"/>
    </row>
    <row r="764">
      <c r="C764" s="82"/>
    </row>
    <row r="765">
      <c r="C765" s="82"/>
    </row>
    <row r="766">
      <c r="C766" s="82"/>
    </row>
    <row r="767">
      <c r="C767" s="82"/>
    </row>
    <row r="768">
      <c r="C768" s="82"/>
    </row>
    <row r="769">
      <c r="C769" s="82"/>
    </row>
    <row r="770">
      <c r="C770" s="82"/>
    </row>
    <row r="771">
      <c r="C771" s="82"/>
    </row>
    <row r="772">
      <c r="C772" s="82"/>
    </row>
    <row r="773">
      <c r="C773" s="82"/>
    </row>
    <row r="774">
      <c r="C774" s="82"/>
    </row>
    <row r="775">
      <c r="C775" s="82"/>
    </row>
    <row r="776">
      <c r="C776" s="82"/>
    </row>
    <row r="777">
      <c r="C777" s="82"/>
    </row>
    <row r="778">
      <c r="C778" s="82"/>
    </row>
    <row r="779">
      <c r="C779" s="82"/>
    </row>
    <row r="780">
      <c r="C780" s="82"/>
    </row>
    <row r="781">
      <c r="C781" s="82"/>
    </row>
    <row r="782">
      <c r="C782" s="82"/>
    </row>
    <row r="783">
      <c r="C783" s="82"/>
    </row>
    <row r="784">
      <c r="C784" s="82"/>
    </row>
    <row r="785">
      <c r="C785" s="82"/>
    </row>
    <row r="786">
      <c r="C786" s="82"/>
    </row>
    <row r="787">
      <c r="C787" s="82"/>
    </row>
    <row r="788">
      <c r="C788" s="82"/>
    </row>
    <row r="789">
      <c r="C789" s="82"/>
    </row>
    <row r="790">
      <c r="C790" s="82"/>
    </row>
    <row r="791">
      <c r="C791" s="82"/>
    </row>
    <row r="792">
      <c r="C792" s="82"/>
    </row>
    <row r="793">
      <c r="C793" s="82"/>
    </row>
    <row r="794">
      <c r="C794" s="82"/>
    </row>
    <row r="795">
      <c r="C795" s="82"/>
    </row>
    <row r="796">
      <c r="C796" s="82"/>
    </row>
    <row r="797">
      <c r="C797" s="82"/>
    </row>
    <row r="798">
      <c r="C798" s="82"/>
    </row>
    <row r="799">
      <c r="C799" s="82"/>
    </row>
    <row r="800">
      <c r="C800" s="82"/>
    </row>
    <row r="801">
      <c r="C801" s="82"/>
    </row>
    <row r="802">
      <c r="C802" s="82"/>
    </row>
    <row r="803">
      <c r="C803" s="82"/>
    </row>
    <row r="804">
      <c r="C804" s="82"/>
    </row>
    <row r="805">
      <c r="C805" s="82"/>
    </row>
    <row r="806">
      <c r="C806" s="82"/>
    </row>
    <row r="807">
      <c r="C807" s="82"/>
    </row>
    <row r="808">
      <c r="C808" s="82"/>
    </row>
    <row r="809">
      <c r="C809" s="82"/>
    </row>
    <row r="810">
      <c r="C810" s="82"/>
    </row>
    <row r="811">
      <c r="C811" s="82"/>
    </row>
    <row r="812">
      <c r="C812" s="82"/>
    </row>
    <row r="813">
      <c r="C813" s="82"/>
    </row>
    <row r="814">
      <c r="C814" s="82"/>
    </row>
    <row r="815">
      <c r="C815" s="82"/>
    </row>
    <row r="816">
      <c r="C816" s="82"/>
    </row>
    <row r="817">
      <c r="C817" s="82"/>
    </row>
    <row r="818">
      <c r="C818" s="82"/>
    </row>
    <row r="819">
      <c r="C819" s="82"/>
    </row>
    <row r="820">
      <c r="C820" s="82"/>
    </row>
    <row r="821">
      <c r="C821" s="82"/>
    </row>
    <row r="822">
      <c r="C822" s="82"/>
    </row>
    <row r="823">
      <c r="C823" s="82"/>
    </row>
    <row r="824">
      <c r="C824" s="82"/>
    </row>
    <row r="825">
      <c r="C825" s="82"/>
    </row>
    <row r="826">
      <c r="C826" s="82"/>
    </row>
    <row r="827">
      <c r="C827" s="82"/>
    </row>
    <row r="828">
      <c r="C828" s="82"/>
    </row>
    <row r="829">
      <c r="C829" s="82"/>
    </row>
    <row r="830">
      <c r="C830" s="82"/>
    </row>
    <row r="831">
      <c r="C831" s="82"/>
    </row>
    <row r="832">
      <c r="C832" s="82"/>
    </row>
    <row r="833">
      <c r="C833" s="82"/>
    </row>
    <row r="834">
      <c r="C834" s="82"/>
    </row>
    <row r="835">
      <c r="C835" s="82"/>
    </row>
    <row r="836">
      <c r="C836" s="82"/>
    </row>
    <row r="837">
      <c r="C837" s="82"/>
    </row>
    <row r="838">
      <c r="C838" s="82"/>
    </row>
    <row r="839">
      <c r="C839" s="82"/>
    </row>
    <row r="840">
      <c r="C840" s="82"/>
    </row>
    <row r="841">
      <c r="C841" s="82"/>
    </row>
    <row r="842">
      <c r="C842" s="82"/>
    </row>
    <row r="843">
      <c r="C843" s="82"/>
    </row>
    <row r="844">
      <c r="C844" s="82"/>
    </row>
    <row r="845">
      <c r="C845" s="82"/>
    </row>
    <row r="846">
      <c r="C846" s="82"/>
    </row>
    <row r="847">
      <c r="C847" s="82"/>
    </row>
    <row r="848">
      <c r="C848" s="82"/>
    </row>
    <row r="849">
      <c r="C849" s="82"/>
    </row>
    <row r="850">
      <c r="C850" s="82"/>
    </row>
    <row r="851">
      <c r="C851" s="82"/>
    </row>
    <row r="852">
      <c r="C852" s="82"/>
    </row>
    <row r="853">
      <c r="C853" s="82"/>
    </row>
    <row r="854">
      <c r="C854" s="82"/>
    </row>
    <row r="855">
      <c r="C855" s="82"/>
    </row>
    <row r="856">
      <c r="C856" s="82"/>
    </row>
    <row r="857">
      <c r="C857" s="82"/>
    </row>
    <row r="858">
      <c r="C858" s="82"/>
    </row>
    <row r="859">
      <c r="C859" s="82"/>
    </row>
    <row r="860">
      <c r="C860" s="82"/>
    </row>
    <row r="861">
      <c r="C861" s="82"/>
    </row>
    <row r="862">
      <c r="C862" s="82"/>
    </row>
    <row r="863">
      <c r="C863" s="82"/>
    </row>
    <row r="864">
      <c r="C864" s="82"/>
    </row>
    <row r="865">
      <c r="C865" s="82"/>
    </row>
    <row r="866">
      <c r="C866" s="82"/>
    </row>
    <row r="867">
      <c r="C867" s="82"/>
    </row>
    <row r="868">
      <c r="C868" s="82"/>
    </row>
    <row r="869">
      <c r="C869" s="82"/>
    </row>
    <row r="870">
      <c r="C870" s="82"/>
    </row>
    <row r="871">
      <c r="C871" s="82"/>
    </row>
    <row r="872">
      <c r="C872" s="82"/>
    </row>
    <row r="873">
      <c r="C873" s="82"/>
    </row>
    <row r="874">
      <c r="C874" s="82"/>
    </row>
    <row r="875">
      <c r="C875" s="82"/>
    </row>
    <row r="876">
      <c r="C876" s="82"/>
    </row>
    <row r="877">
      <c r="C877" s="82"/>
    </row>
    <row r="878">
      <c r="C878" s="82"/>
    </row>
    <row r="879">
      <c r="C879" s="82"/>
    </row>
    <row r="880">
      <c r="C880" s="82"/>
    </row>
    <row r="881">
      <c r="C881" s="82"/>
    </row>
    <row r="882">
      <c r="C882" s="82"/>
    </row>
    <row r="883">
      <c r="C883" s="82"/>
    </row>
    <row r="884">
      <c r="C884" s="82"/>
    </row>
    <row r="885">
      <c r="C885" s="82"/>
    </row>
    <row r="886">
      <c r="C886" s="82"/>
    </row>
    <row r="887">
      <c r="C887" s="82"/>
    </row>
    <row r="888">
      <c r="C888" s="82"/>
    </row>
    <row r="889">
      <c r="C889" s="82"/>
    </row>
    <row r="890">
      <c r="C890" s="82"/>
    </row>
    <row r="891">
      <c r="C891" s="82"/>
    </row>
    <row r="892">
      <c r="C892" s="82"/>
    </row>
    <row r="893">
      <c r="C893" s="82"/>
    </row>
    <row r="894">
      <c r="C894" s="82"/>
    </row>
    <row r="895">
      <c r="C895" s="82"/>
    </row>
    <row r="896">
      <c r="C896" s="82"/>
    </row>
    <row r="897">
      <c r="C897" s="82"/>
    </row>
    <row r="898">
      <c r="C898" s="82"/>
    </row>
    <row r="899">
      <c r="C899" s="82"/>
    </row>
    <row r="900">
      <c r="C900" s="82"/>
    </row>
    <row r="901">
      <c r="C901" s="82"/>
    </row>
    <row r="902">
      <c r="C902" s="82"/>
    </row>
    <row r="903">
      <c r="C903" s="82"/>
    </row>
    <row r="904">
      <c r="C904" s="82"/>
    </row>
    <row r="905">
      <c r="C905" s="82"/>
    </row>
    <row r="906">
      <c r="C906" s="82"/>
    </row>
    <row r="907">
      <c r="C907" s="82"/>
    </row>
    <row r="908">
      <c r="C908" s="82"/>
    </row>
    <row r="909">
      <c r="C909" s="82"/>
    </row>
    <row r="910">
      <c r="C910" s="82"/>
    </row>
    <row r="911">
      <c r="C911" s="82"/>
    </row>
    <row r="912">
      <c r="C912" s="82"/>
    </row>
    <row r="913">
      <c r="C913" s="82"/>
    </row>
    <row r="914">
      <c r="C914" s="82"/>
    </row>
    <row r="915">
      <c r="C915" s="82"/>
    </row>
    <row r="916">
      <c r="C916" s="82"/>
    </row>
    <row r="917">
      <c r="C917" s="82"/>
    </row>
    <row r="918">
      <c r="C918" s="82"/>
    </row>
    <row r="919">
      <c r="C919" s="82"/>
    </row>
    <row r="920">
      <c r="C920" s="82"/>
    </row>
    <row r="921">
      <c r="C921" s="82"/>
    </row>
    <row r="922">
      <c r="C922" s="82"/>
    </row>
    <row r="923">
      <c r="C923" s="82"/>
    </row>
    <row r="924">
      <c r="C924" s="82"/>
    </row>
    <row r="925">
      <c r="C925" s="82"/>
    </row>
    <row r="926">
      <c r="C926" s="82"/>
    </row>
    <row r="927">
      <c r="C927" s="82"/>
    </row>
    <row r="928">
      <c r="C928" s="82"/>
    </row>
    <row r="929">
      <c r="C929" s="82"/>
    </row>
    <row r="930">
      <c r="C930" s="82"/>
    </row>
    <row r="931">
      <c r="C931" s="82"/>
    </row>
    <row r="932">
      <c r="C932" s="82"/>
    </row>
    <row r="933">
      <c r="C933" s="82"/>
    </row>
    <row r="934">
      <c r="C934" s="82"/>
    </row>
    <row r="935">
      <c r="C935" s="82"/>
    </row>
    <row r="936">
      <c r="C936" s="82"/>
    </row>
    <row r="937">
      <c r="C937" s="82"/>
    </row>
    <row r="938">
      <c r="C938" s="82"/>
    </row>
    <row r="939">
      <c r="C939" s="82"/>
    </row>
    <row r="940">
      <c r="C940" s="82"/>
    </row>
    <row r="941">
      <c r="C941" s="82"/>
    </row>
    <row r="942">
      <c r="C942" s="82"/>
    </row>
    <row r="943">
      <c r="C943" s="82"/>
    </row>
    <row r="944">
      <c r="C944" s="82"/>
    </row>
    <row r="945">
      <c r="C945" s="82"/>
    </row>
    <row r="946">
      <c r="C946" s="82"/>
    </row>
    <row r="947">
      <c r="C947" s="82"/>
    </row>
    <row r="948">
      <c r="C948" s="82"/>
    </row>
    <row r="949">
      <c r="C949" s="82"/>
    </row>
    <row r="950">
      <c r="C950" s="82"/>
    </row>
    <row r="951">
      <c r="C951" s="82"/>
    </row>
    <row r="952">
      <c r="C952" s="82"/>
    </row>
    <row r="953">
      <c r="C953" s="82"/>
    </row>
    <row r="954">
      <c r="C954" s="82"/>
    </row>
    <row r="955">
      <c r="C955" s="82"/>
    </row>
    <row r="956">
      <c r="C956" s="82"/>
    </row>
    <row r="957">
      <c r="C957" s="82"/>
    </row>
    <row r="958">
      <c r="C958" s="82"/>
    </row>
    <row r="959">
      <c r="C959" s="82"/>
    </row>
    <row r="960">
      <c r="C960" s="82"/>
    </row>
    <row r="961">
      <c r="C961" s="82"/>
    </row>
    <row r="962">
      <c r="C962" s="82"/>
    </row>
    <row r="963">
      <c r="C963" s="82"/>
    </row>
    <row r="964">
      <c r="C964" s="82"/>
    </row>
    <row r="965">
      <c r="C965" s="82"/>
    </row>
    <row r="966">
      <c r="C966" s="82"/>
    </row>
    <row r="967">
      <c r="C967" s="82"/>
    </row>
    <row r="968">
      <c r="C968" s="82"/>
    </row>
    <row r="969">
      <c r="C969" s="82"/>
    </row>
    <row r="970">
      <c r="C970" s="82"/>
    </row>
    <row r="971">
      <c r="C971" s="82"/>
    </row>
    <row r="972">
      <c r="C972" s="82"/>
    </row>
    <row r="973">
      <c r="C973" s="82"/>
    </row>
    <row r="974">
      <c r="C974" s="82"/>
    </row>
    <row r="975">
      <c r="C975" s="82"/>
    </row>
    <row r="976">
      <c r="C976" s="82"/>
    </row>
    <row r="977">
      <c r="C977" s="82"/>
    </row>
    <row r="978">
      <c r="C978" s="82"/>
    </row>
    <row r="979">
      <c r="C979" s="82"/>
    </row>
    <row r="980">
      <c r="C980" s="82"/>
    </row>
    <row r="981">
      <c r="C981" s="82"/>
    </row>
    <row r="982">
      <c r="C982" s="82"/>
    </row>
    <row r="983">
      <c r="C983" s="82"/>
    </row>
    <row r="984">
      <c r="C984" s="82"/>
    </row>
    <row r="985">
      <c r="C985" s="82"/>
    </row>
    <row r="986">
      <c r="C986" s="82"/>
    </row>
    <row r="987">
      <c r="C987" s="82"/>
    </row>
    <row r="988">
      <c r="C988" s="82"/>
    </row>
    <row r="989">
      <c r="C989" s="82"/>
    </row>
    <row r="990">
      <c r="C990" s="82"/>
    </row>
    <row r="991">
      <c r="C991" s="82"/>
    </row>
    <row r="992">
      <c r="C992" s="82"/>
    </row>
    <row r="993">
      <c r="C993" s="82"/>
    </row>
    <row r="994">
      <c r="C994" s="82"/>
    </row>
    <row r="995">
      <c r="C995" s="82"/>
    </row>
    <row r="996">
      <c r="C996" s="82"/>
    </row>
    <row r="997">
      <c r="C997" s="82"/>
    </row>
    <row r="998">
      <c r="C998" s="82"/>
    </row>
    <row r="999">
      <c r="C999" s="82"/>
    </row>
    <row r="1000">
      <c r="C1000" s="82"/>
    </row>
  </sheetData>
  <mergeCells count="31">
    <mergeCell ref="C2:C10"/>
    <mergeCell ref="C11:C12"/>
    <mergeCell ref="C13:C16"/>
    <mergeCell ref="C17:C20"/>
    <mergeCell ref="C21:C22"/>
    <mergeCell ref="C23:C25"/>
    <mergeCell ref="C28:C32"/>
    <mergeCell ref="C34:C35"/>
    <mergeCell ref="C36:C38"/>
    <mergeCell ref="C39:C41"/>
    <mergeCell ref="C45:C46"/>
    <mergeCell ref="C47:C51"/>
    <mergeCell ref="C52:C58"/>
    <mergeCell ref="C59:C67"/>
    <mergeCell ref="C68:C79"/>
    <mergeCell ref="C80:C94"/>
    <mergeCell ref="C95:C102"/>
    <mergeCell ref="C104:C107"/>
    <mergeCell ref="C109:C111"/>
    <mergeCell ref="C112:C115"/>
    <mergeCell ref="C116:C123"/>
    <mergeCell ref="A224:C224"/>
    <mergeCell ref="D224:F224"/>
    <mergeCell ref="B226:C226"/>
    <mergeCell ref="C124:C129"/>
    <mergeCell ref="C130:C135"/>
    <mergeCell ref="C136:C146"/>
    <mergeCell ref="C147:C156"/>
    <mergeCell ref="C157:C177"/>
    <mergeCell ref="C178:C194"/>
    <mergeCell ref="C195:C221"/>
  </mergeCells>
  <dataValidations>
    <dataValidation type="list" allowBlank="1" showErrorMessage="1" sqref="C2 C11 C13 C17 C21 C23 C26:C28 C33:C34 C36 C39 C42:C45 C47 C52 C59 C68 C80 C95 C103:C104 C108:C109 C112 C116 C124 C130 C136 C147 C157 C178 C195">
      <formula1>"BALI,BANTEN,GORONTALO,JAMBI,JAWA TENGAH,KALIMANTAN BARAT,ACEH,KALIMANTAN SELATAN,KALIMANTAN TIMUR,KALIMANTAN UTARA,BANGKA BELITUNG,KEP. RIAU,LAMPUNG,MALUKU UTARA,NTB,SULAWESI TENGAH,SUMATERA BARAT,SULAWESI SELATAN,RIAU,JAWA TIMUR,JAWA BARAT,SUMATERA UTARA"&amp;",SUMATERA SELATAN,DKI JAKARTA,KALTENG,KALTIM,SULAWESI TENGGARA,NTT"</formula1>
    </dataValidation>
  </dataValidations>
  <hyperlinks>
    <hyperlink r:id="rId1" ref="G42"/>
  </hyperlinks>
  <drawing r:id="rId2"/>
</worksheet>
</file>